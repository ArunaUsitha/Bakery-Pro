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 Profit Calculator - 02" sheetId="1" r:id="rId4"/>
    <sheet state="visible" name="Daily Profit Calculator - 01" sheetId="2" r:id="rId5"/>
    <sheet state="visible" name="Ingredients Price" sheetId="3" r:id="rId6"/>
    <sheet state="visible" name="CAKE COST CALCULATOR" sheetId="4" r:id="rId7"/>
    <sheet state="visible" name="Product Cost &amp; Prices" sheetId="5" r:id="rId8"/>
    <sheet state="visible" name="Bread Cost Calculator" sheetId="6" r:id="rId9"/>
    <sheet state="visible" name="Roast Bread Cost Calculator" sheetId="7" r:id="rId10"/>
    <sheet state="visible" name="Genaral Bun Cost Calculator" sheetId="8" r:id="rId11"/>
    <sheet state="visible" name="Bun Cost Calculator" sheetId="9" r:id="rId12"/>
    <sheet state="visible" name="Wandu Cost Calculator" sheetId="10" r:id="rId13"/>
    <sheet state="visible" name="Wafers Cake Cost Calculator" sheetId="11" r:id="rId14"/>
    <sheet state="visible" name="Cup Cake Cost Calculator" sheetId="12" r:id="rId15"/>
  </sheets>
  <definedNames/>
  <calcPr/>
</workbook>
</file>

<file path=xl/sharedStrings.xml><?xml version="1.0" encoding="utf-8"?>
<sst xmlns="http://schemas.openxmlformats.org/spreadsheetml/2006/main" count="491" uniqueCount="133">
  <si>
    <t xml:space="preserve"> </t>
  </si>
  <si>
    <t>Total Production</t>
  </si>
  <si>
    <t>Vehicle</t>
  </si>
  <si>
    <t>Shop</t>
  </si>
  <si>
    <t>Daily Production related expenses</t>
  </si>
  <si>
    <t>Stocked</t>
  </si>
  <si>
    <t>Remaining</t>
  </si>
  <si>
    <t>Cost</t>
  </si>
  <si>
    <t>Income</t>
  </si>
  <si>
    <t>Profit</t>
  </si>
  <si>
    <t>Soled</t>
  </si>
  <si>
    <t>Stock + Vehicle</t>
  </si>
  <si>
    <t>Income 02</t>
  </si>
  <si>
    <t>Santha's Salary</t>
  </si>
  <si>
    <t>Bread</t>
  </si>
  <si>
    <t>Driver's Salary</t>
  </si>
  <si>
    <t>Sandwitch Bread</t>
  </si>
  <si>
    <t>shop's salary</t>
  </si>
  <si>
    <t>Fish Bun</t>
  </si>
  <si>
    <t>Accounts Salary</t>
  </si>
  <si>
    <t>Wiyan Roll</t>
  </si>
  <si>
    <t>Vehicle Fuel &amp; Maintainance</t>
  </si>
  <si>
    <t>Jam Bun</t>
  </si>
  <si>
    <t>Timber</t>
  </si>
  <si>
    <t>Roast Bread</t>
  </si>
  <si>
    <t>Father's Allocation</t>
  </si>
  <si>
    <t>Pizza</t>
  </si>
  <si>
    <t>Mother's Allocation</t>
  </si>
  <si>
    <t>Sausages Bun</t>
  </si>
  <si>
    <t>Salary Advance</t>
  </si>
  <si>
    <t>T-Bun</t>
  </si>
  <si>
    <t>Not received</t>
  </si>
  <si>
    <t>Cream Bun (2 Pieces)</t>
  </si>
  <si>
    <t>Total</t>
  </si>
  <si>
    <t>Wandu</t>
  </si>
  <si>
    <t>Cup Cake</t>
  </si>
  <si>
    <t>Wafers Cake</t>
  </si>
  <si>
    <t xml:space="preserve">pieces packet </t>
  </si>
  <si>
    <t>Butter Buscuit</t>
  </si>
  <si>
    <t>Burger Bun</t>
  </si>
  <si>
    <t>Bread (For Resale)</t>
  </si>
  <si>
    <t>Total Profit</t>
  </si>
  <si>
    <t>Gross Profit</t>
  </si>
  <si>
    <t xml:space="preserve">                                                                     </t>
  </si>
  <si>
    <t>Amount</t>
  </si>
  <si>
    <t>Note Count</t>
  </si>
  <si>
    <t>`</t>
  </si>
  <si>
    <t>Ingredient</t>
  </si>
  <si>
    <t>Unit</t>
  </si>
  <si>
    <t>Price per Unit (in local currency)</t>
  </si>
  <si>
    <t>Last Updated</t>
  </si>
  <si>
    <t>Flour</t>
  </si>
  <si>
    <t>kg</t>
  </si>
  <si>
    <t>Yeast</t>
  </si>
  <si>
    <t>Sugar</t>
  </si>
  <si>
    <t>Salt</t>
  </si>
  <si>
    <t>Bread Improver (Hyco)</t>
  </si>
  <si>
    <t>Coconut Oil</t>
  </si>
  <si>
    <t>L</t>
  </si>
  <si>
    <t>Jam</t>
  </si>
  <si>
    <t>Bun Compound (Masterbun)</t>
  </si>
  <si>
    <t>Onion</t>
  </si>
  <si>
    <t>Chilli Flakes</t>
  </si>
  <si>
    <t>Pepper</t>
  </si>
  <si>
    <t>Leaks</t>
  </si>
  <si>
    <t>Eggs</t>
  </si>
  <si>
    <t>piece</t>
  </si>
  <si>
    <t>Sousages</t>
  </si>
  <si>
    <t>Tomato Sauce</t>
  </si>
  <si>
    <t>Bun Yeast</t>
  </si>
  <si>
    <t>Marvo</t>
  </si>
  <si>
    <t>Icing Suger</t>
  </si>
  <si>
    <t>Cumin (දුරු )</t>
  </si>
  <si>
    <t>Vanilla Flavour</t>
  </si>
  <si>
    <t>Food Coloring</t>
  </si>
  <si>
    <t>Cake Magarine</t>
  </si>
  <si>
    <t>Wafers Piece</t>
  </si>
  <si>
    <t>Baking Power (N)</t>
  </si>
  <si>
    <t>Baking Power (Dual Action)</t>
  </si>
  <si>
    <t>Ajinomoto</t>
  </si>
  <si>
    <t>Cup cake mixture</t>
  </si>
  <si>
    <t xml:space="preserve">Kg </t>
  </si>
  <si>
    <t>Vegetable Oil</t>
  </si>
  <si>
    <t>Kg</t>
  </si>
  <si>
    <t>Lettuce</t>
  </si>
  <si>
    <t>Quantity</t>
  </si>
  <si>
    <t xml:space="preserve">Cost for Recipe </t>
  </si>
  <si>
    <t>Behaive</t>
  </si>
  <si>
    <t xml:space="preserve">Milk Powder </t>
  </si>
  <si>
    <t>g</t>
  </si>
  <si>
    <t>Corn Flour</t>
  </si>
  <si>
    <t>Vanila</t>
  </si>
  <si>
    <t>tsp</t>
  </si>
  <si>
    <t xml:space="preserve">Baking Powder </t>
  </si>
  <si>
    <t>Egg</t>
  </si>
  <si>
    <t>Total Cost</t>
  </si>
  <si>
    <t>COST PER 1 KG</t>
  </si>
  <si>
    <t xml:space="preserve">SELLING PRICE </t>
  </si>
  <si>
    <t>Product</t>
  </si>
  <si>
    <t>Profit Margin (%)</t>
  </si>
  <si>
    <t>Profit Margin Price</t>
  </si>
  <si>
    <t>Shop Price</t>
  </si>
  <si>
    <t>Vehicle Price</t>
  </si>
  <si>
    <t xml:space="preserve">Shop Profit </t>
  </si>
  <si>
    <t>Others</t>
  </si>
  <si>
    <t>-</t>
  </si>
  <si>
    <t>Cost per Bread</t>
  </si>
  <si>
    <t>Cost for Recipe</t>
  </si>
  <si>
    <t>Bun Compound</t>
  </si>
  <si>
    <t>Suger (Wrapping)</t>
  </si>
  <si>
    <t>Cost per Item</t>
  </si>
  <si>
    <t>Jam Banis</t>
  </si>
  <si>
    <t>l</t>
  </si>
  <si>
    <t>Sousages Bun</t>
  </si>
  <si>
    <t>Oil</t>
  </si>
  <si>
    <t>Output (pieces)</t>
  </si>
  <si>
    <t>Dough Weight (KG)</t>
  </si>
  <si>
    <t>Total Weight (KG)</t>
  </si>
  <si>
    <t>Cost Contribution</t>
  </si>
  <si>
    <t>Cost Per Bun</t>
  </si>
  <si>
    <t>Fish Buns</t>
  </si>
  <si>
    <t>Cream Bun</t>
  </si>
  <si>
    <t>Cream Cost</t>
  </si>
  <si>
    <t>Cream</t>
  </si>
  <si>
    <t>T Bun</t>
  </si>
  <si>
    <t>Cumins</t>
  </si>
  <si>
    <t>Cost Per Wandu</t>
  </si>
  <si>
    <t>pieces</t>
  </si>
  <si>
    <t>Icing</t>
  </si>
  <si>
    <t>Cost Per Cake Piece</t>
  </si>
  <si>
    <t>WITH CUP CAKE MIXTURE</t>
  </si>
  <si>
    <t>Mixture</t>
  </si>
  <si>
    <t>WITH CAKE MAGARINE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</si>
</sst>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s]#,##0.00"/>
    <numFmt numFmtId="165" formatCode="M/d/yyyy"/>
  </numFmts>
  <fonts count="15">
    <font>
      <sz val="11.0"/>
      <color theme="1"/>
      <name val="Calibri"/>
      <scheme val="minor"/>
    </font>
    <font>
      <color rgb="FFFFFFFF"/>
      <name val="Calibri"/>
      <scheme val="minor"/>
    </font>
    <font>
      <color theme="1"/>
      <name val="Calibri"/>
      <scheme val="minor"/>
    </font>
    <font/>
    <font>
      <color rgb="FFB7B7B7"/>
      <name val="Calibri"/>
      <scheme val="minor"/>
    </font>
    <font>
      <color rgb="FF000000"/>
      <name val="Calibri"/>
      <scheme val="minor"/>
    </font>
    <font>
      <b/>
      <sz val="12.0"/>
      <color theme="1"/>
      <name val="Calibri"/>
      <scheme val="minor"/>
    </font>
    <font>
      <b/>
      <sz val="14.0"/>
      <color rgb="FF38761D"/>
      <name val="Calibri"/>
    </font>
    <font>
      <b/>
      <sz val="12.0"/>
      <color theme="1"/>
      <name val="Calibri"/>
    </font>
    <font>
      <sz val="11.0"/>
      <color theme="1"/>
      <name val="Calibri"/>
    </font>
    <font>
      <b/>
      <sz val="14.0"/>
      <color rgb="FFFFFFFF"/>
      <name val="Calibri"/>
    </font>
    <font>
      <color theme="1"/>
      <name val="Arial"/>
    </font>
    <font>
      <b/>
      <sz val="11.0"/>
      <color theme="1"/>
      <name val="Calibri"/>
    </font>
    <font>
      <b/>
      <color theme="1"/>
      <name val="Calibri"/>
      <scheme val="minor"/>
    </font>
    <font>
      <b/>
      <sz val="11.0"/>
      <color rgb="FFFFFFFF"/>
      <name val="Calibri"/>
    </font>
  </fonts>
  <fills count="40">
    <fill>
      <patternFill patternType="none"/>
    </fill>
    <fill>
      <patternFill patternType="lightGray"/>
    </fill>
    <fill>
      <patternFill patternType="solid">
        <fgColor rgb="FF8E7CC3"/>
        <bgColor rgb="FF8E7CC3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CCA677"/>
        <bgColor rgb="FFCCA677"/>
      </patternFill>
    </fill>
    <fill>
      <patternFill patternType="solid">
        <fgColor rgb="FFF4CCCC"/>
        <bgColor rgb="FFF4CCCC"/>
      </patternFill>
    </fill>
    <fill>
      <patternFill patternType="solid">
        <fgColor rgb="FFF9CB9C"/>
        <bgColor rgb="FFF9CB9C"/>
      </patternFill>
    </fill>
    <fill>
      <patternFill patternType="solid">
        <fgColor rgb="FFBDBDBD"/>
        <bgColor rgb="FFBDBDBD"/>
      </patternFill>
    </fill>
    <fill>
      <patternFill patternType="solid">
        <fgColor rgb="FF000000"/>
        <bgColor rgb="FF000000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8F2EB"/>
        <bgColor rgb="FFF8F2EB"/>
      </patternFill>
    </fill>
    <fill>
      <patternFill patternType="solid">
        <fgColor rgb="FFF3F3F3"/>
        <bgColor rgb="FFF3F3F3"/>
      </patternFill>
    </fill>
    <fill>
      <patternFill patternType="solid">
        <fgColor rgb="FFCC0000"/>
        <bgColor rgb="FFCC0000"/>
      </patternFill>
    </fill>
    <fill>
      <patternFill patternType="solid">
        <fgColor rgb="FFE06666"/>
        <bgColor rgb="FFE06666"/>
      </patternFill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B6D7A8"/>
        <bgColor rgb="FFB6D7A8"/>
      </patternFill>
    </fill>
    <fill>
      <patternFill patternType="solid">
        <fgColor rgb="FFCC4125"/>
        <bgColor rgb="FFCC4125"/>
      </patternFill>
    </fill>
    <fill>
      <patternFill patternType="solid">
        <fgColor rgb="FFD9D9D9"/>
        <bgColor rgb="FFD9D9D9"/>
      </patternFill>
    </fill>
    <fill>
      <patternFill patternType="solid">
        <fgColor rgb="FFF46524"/>
        <bgColor rgb="FFF46524"/>
      </patternFill>
    </fill>
    <fill>
      <patternFill patternType="solid">
        <fgColor rgb="FFFFE6DD"/>
        <bgColor rgb="FFFFE6DD"/>
      </patternFill>
    </fill>
    <fill>
      <patternFill patternType="solid">
        <fgColor rgb="FFFFCCBC"/>
        <bgColor rgb="FFFFCCBC"/>
      </patternFill>
    </fill>
    <fill>
      <patternFill patternType="solid">
        <fgColor rgb="FFFFE599"/>
        <bgColor rgb="FFFFE599"/>
      </patternFill>
    </fill>
    <fill>
      <patternFill patternType="solid">
        <fgColor rgb="FF8DB3E2"/>
        <bgColor rgb="FF8DB3E2"/>
      </patternFill>
    </fill>
    <fill>
      <patternFill patternType="solid">
        <fgColor rgb="FFDD7E6B"/>
        <bgColor rgb="FFDD7E6B"/>
      </patternFill>
    </fill>
    <fill>
      <patternFill patternType="solid">
        <fgColor rgb="FFC9DAF8"/>
        <bgColor rgb="FFC9DAF8"/>
      </patternFill>
    </fill>
    <fill>
      <patternFill patternType="solid">
        <fgColor rgb="FF980000"/>
        <bgColor rgb="FF980000"/>
      </patternFill>
    </fill>
    <fill>
      <patternFill patternType="solid">
        <fgColor rgb="FFFFD966"/>
        <bgColor rgb="FFFFD966"/>
      </patternFill>
    </fill>
    <fill>
      <patternFill patternType="solid">
        <fgColor rgb="FFCCCCCC"/>
        <bgColor rgb="FFCCCCCC"/>
      </patternFill>
    </fill>
    <fill>
      <patternFill patternType="solid">
        <fgColor rgb="FFD9D2E9"/>
        <bgColor rgb="FFD9D2E9"/>
      </patternFill>
    </fill>
    <fill>
      <patternFill patternType="solid">
        <fgColor rgb="FFE6B8AF"/>
        <bgColor rgb="FFE6B8AF"/>
      </patternFill>
    </fill>
    <fill>
      <patternFill patternType="solid">
        <fgColor rgb="FFCFE2F3"/>
        <bgColor rgb="FFCFE2F3"/>
      </patternFill>
    </fill>
    <fill>
      <patternFill patternType="solid">
        <fgColor rgb="FF6AA84F"/>
        <bgColor rgb="FF6AA84F"/>
      </patternFill>
    </fill>
    <fill>
      <patternFill patternType="solid">
        <fgColor rgb="FFFF9900"/>
        <bgColor rgb="FFFF9900"/>
      </patternFill>
    </fill>
    <fill>
      <patternFill patternType="solid">
        <fgColor rgb="FFEA9999"/>
        <bgColor rgb="FFEA9999"/>
      </patternFill>
    </fill>
    <fill>
      <patternFill patternType="solid">
        <fgColor theme="5"/>
        <bgColor theme="5"/>
      </patternFill>
    </fill>
    <fill>
      <patternFill patternType="solid">
        <fgColor rgb="FF00FFFF"/>
        <bgColor rgb="FF00FFFF"/>
      </patternFill>
    </fill>
  </fills>
  <borders count="19">
    <border/>
    <border>
      <left style="thick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3C78D8"/>
      </left>
      <top style="thin">
        <color rgb="FF3C78D8"/>
      </top>
    </border>
    <border>
      <top style="thin">
        <color rgb="FF3C78D8"/>
      </top>
    </border>
    <border>
      <right style="thin">
        <color rgb="FF3C78D8"/>
      </right>
      <top style="thin">
        <color rgb="FF3C78D8"/>
      </top>
    </border>
    <border>
      <left style="thin">
        <color rgb="FFB6D7A8"/>
      </left>
      <top style="thin">
        <color rgb="FFB6D7A8"/>
      </top>
      <bottom style="thin">
        <color rgb="FFB6D7A8"/>
      </bottom>
    </border>
    <border>
      <top style="thin">
        <color rgb="FFB6D7A8"/>
      </top>
      <bottom style="thin">
        <color rgb="FFB6D7A8"/>
      </bottom>
    </border>
    <border>
      <right style="thin">
        <color rgb="FFB6D7A8"/>
      </right>
      <top style="thin">
        <color rgb="FFB6D7A8"/>
      </top>
      <bottom style="thin">
        <color rgb="FFB6D7A8"/>
      </bottom>
    </border>
    <border>
      <left style="medium">
        <color rgb="FF6AA84F"/>
      </left>
      <bottom style="thick">
        <color rgb="FFCC0000"/>
      </bottom>
    </border>
    <border>
      <bottom style="thick">
        <color rgb="FFCC0000"/>
      </bottom>
    </border>
    <border>
      <right style="medium">
        <color rgb="FF6AA84F"/>
      </right>
      <bottom style="thick">
        <color rgb="FFCC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3" fontId="2" numFmtId="0" xfId="0" applyAlignment="1" applyBorder="1" applyFill="1" applyFont="1">
      <alignment horizontal="center" readingOrder="0"/>
    </xf>
    <xf borderId="1" fillId="4" fontId="2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2" fillId="5" fontId="1" numFmtId="0" xfId="0" applyAlignment="1" applyBorder="1" applyFill="1" applyFont="1">
      <alignment horizontal="center" readingOrder="0"/>
    </xf>
    <xf borderId="3" fillId="5" fontId="3" numFmtId="0" xfId="0" applyBorder="1" applyFont="1"/>
    <xf borderId="1" fillId="6" fontId="2" numFmtId="0" xfId="0" applyAlignment="1" applyBorder="1" applyFill="1" applyFont="1">
      <alignment readingOrder="0"/>
    </xf>
    <xf borderId="0" fillId="7" fontId="2" numFmtId="0" xfId="0" applyAlignment="1" applyFill="1" applyFont="1">
      <alignment readingOrder="0"/>
    </xf>
    <xf borderId="0" fillId="8" fontId="2" numFmtId="0" xfId="0" applyAlignment="1" applyFill="1" applyFont="1">
      <alignment readingOrder="0"/>
    </xf>
    <xf borderId="0" fillId="6" fontId="2" numFmtId="0" xfId="0" applyAlignment="1" applyFont="1">
      <alignment readingOrder="0"/>
    </xf>
    <xf borderId="0" fillId="9" fontId="2" numFmtId="0" xfId="0" applyAlignment="1" applyFill="1" applyFont="1">
      <alignment readingOrder="0"/>
    </xf>
    <xf borderId="0" fillId="10" fontId="2" numFmtId="0" xfId="0" applyAlignment="1" applyFill="1" applyFont="1">
      <alignment readingOrder="0"/>
    </xf>
    <xf borderId="0" fillId="11" fontId="2" numFmtId="0" xfId="0" applyAlignment="1" applyFill="1" applyFont="1">
      <alignment readingOrder="0"/>
    </xf>
    <xf borderId="0" fillId="11" fontId="2" numFmtId="164" xfId="0" applyAlignment="1" applyFont="1" applyNumberFormat="1">
      <alignment readingOrder="0"/>
    </xf>
    <xf borderId="0" fillId="11" fontId="2" numFmtId="0" xfId="0" applyFont="1"/>
    <xf borderId="1" fillId="11" fontId="2" numFmtId="0" xfId="0" applyAlignment="1" applyBorder="1" applyFont="1">
      <alignment readingOrder="0"/>
    </xf>
    <xf borderId="0" fillId="11" fontId="2" numFmtId="164" xfId="0" applyFont="1" applyNumberFormat="1"/>
    <xf borderId="0" fillId="12" fontId="2" numFmtId="164" xfId="0" applyFill="1" applyFont="1" applyNumberFormat="1"/>
    <xf borderId="0" fillId="11" fontId="4" numFmtId="0" xfId="0" applyAlignment="1" applyFont="1">
      <alignment readingOrder="0"/>
    </xf>
    <xf borderId="0" fillId="10" fontId="2" numFmtId="164" xfId="0" applyFont="1" applyNumberFormat="1"/>
    <xf borderId="0" fillId="13" fontId="2" numFmtId="0" xfId="0" applyAlignment="1" applyFill="1" applyFont="1">
      <alignment readingOrder="0"/>
    </xf>
    <xf borderId="0" fillId="13" fontId="2" numFmtId="164" xfId="0" applyAlignment="1" applyFont="1" applyNumberFormat="1">
      <alignment readingOrder="0"/>
    </xf>
    <xf borderId="0" fillId="14" fontId="2" numFmtId="0" xfId="0" applyAlignment="1" applyFill="1" applyFont="1">
      <alignment readingOrder="0"/>
    </xf>
    <xf borderId="1" fillId="14" fontId="2" numFmtId="0" xfId="0" applyAlignment="1" applyBorder="1" applyFont="1">
      <alignment readingOrder="0"/>
    </xf>
    <xf borderId="0" fillId="14" fontId="2" numFmtId="164" xfId="0" applyFont="1" applyNumberFormat="1"/>
    <xf borderId="0" fillId="14" fontId="2" numFmtId="0" xfId="0" applyFont="1"/>
    <xf borderId="1" fillId="14" fontId="0" numFmtId="0" xfId="0" applyAlignment="1" applyBorder="1" applyFont="1">
      <alignment readingOrder="0"/>
    </xf>
    <xf borderId="0" fillId="14" fontId="4" numFmtId="0" xfId="0" applyAlignment="1" applyFont="1">
      <alignment readingOrder="0"/>
    </xf>
    <xf borderId="1" fillId="14" fontId="2" numFmtId="0" xfId="0" applyAlignment="1" applyBorder="1" applyFont="1">
      <alignment horizontal="right" readingOrder="0"/>
    </xf>
    <xf borderId="0" fillId="14" fontId="2" numFmtId="0" xfId="0" applyAlignment="1" applyFont="1">
      <alignment horizontal="right" readingOrder="0"/>
    </xf>
    <xf borderId="0" fillId="14" fontId="4" numFmtId="0" xfId="0" applyAlignment="1" applyFont="1">
      <alignment horizontal="right" readingOrder="0"/>
    </xf>
    <xf borderId="0" fillId="11" fontId="4" numFmtId="0" xfId="0" applyAlignment="1" applyFont="1">
      <alignment horizontal="right" readingOrder="0"/>
    </xf>
    <xf borderId="1" fillId="11" fontId="2" numFmtId="0" xfId="0" applyAlignment="1" applyBorder="1" applyFont="1">
      <alignment horizontal="right" readingOrder="0"/>
    </xf>
    <xf borderId="0" fillId="11" fontId="2" numFmtId="0" xfId="0" applyAlignment="1" applyFont="1">
      <alignment horizontal="right" readingOrder="0"/>
    </xf>
    <xf borderId="0" fillId="15" fontId="1" numFmtId="0" xfId="0" applyAlignment="1" applyFill="1" applyFont="1">
      <alignment readingOrder="0"/>
    </xf>
    <xf borderId="0" fillId="15" fontId="1" numFmtId="164" xfId="0" applyAlignment="1" applyFont="1" applyNumberFormat="1">
      <alignment readingOrder="0"/>
    </xf>
    <xf borderId="0" fillId="16" fontId="2" numFmtId="164" xfId="0" applyAlignment="1" applyFill="1" applyFont="1" applyNumberFormat="1">
      <alignment readingOrder="0"/>
    </xf>
    <xf borderId="0" fillId="11" fontId="2" numFmtId="0" xfId="0" applyAlignment="1" applyFont="1">
      <alignment horizontal="left" readingOrder="0"/>
    </xf>
    <xf borderId="0" fillId="14" fontId="2" numFmtId="0" xfId="0" applyAlignment="1" applyFont="1">
      <alignment horizontal="left" readingOrder="0"/>
    </xf>
    <xf borderId="0" fillId="12" fontId="2" numFmtId="0" xfId="0" applyFont="1"/>
    <xf borderId="0" fillId="10" fontId="2" numFmtId="2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9" fontId="2" numFmtId="0" xfId="0" applyAlignment="1" applyFont="1">
      <alignment horizontal="right" readingOrder="0"/>
    </xf>
    <xf borderId="1" fillId="9" fontId="2" numFmtId="0" xfId="0" applyAlignment="1" applyBorder="1" applyFont="1">
      <alignment horizontal="right" readingOrder="0"/>
    </xf>
    <xf borderId="0" fillId="9" fontId="2" numFmtId="0" xfId="0" applyFont="1"/>
    <xf borderId="0" fillId="17" fontId="2" numFmtId="0" xfId="0" applyAlignment="1" applyFill="1" applyFont="1">
      <alignment readingOrder="0"/>
    </xf>
    <xf borderId="1" fillId="17" fontId="2" numFmtId="0" xfId="0" applyAlignment="1" applyBorder="1" applyFont="1">
      <alignment readingOrder="0"/>
    </xf>
    <xf borderId="0" fillId="17" fontId="2" numFmtId="164" xfId="0" applyFont="1" applyNumberFormat="1"/>
    <xf borderId="0" fillId="17" fontId="2" numFmtId="0" xfId="0" applyAlignment="1" applyFont="1">
      <alignment horizontal="right" readingOrder="0"/>
    </xf>
    <xf borderId="1" fillId="17" fontId="2" numFmtId="0" xfId="0" applyAlignment="1" applyBorder="1" applyFont="1">
      <alignment horizontal="right" readingOrder="0"/>
    </xf>
    <xf borderId="0" fillId="17" fontId="2" numFmtId="0" xfId="0" applyFont="1"/>
    <xf borderId="0" fillId="15" fontId="1" numFmtId="0" xfId="0" applyAlignment="1" applyFont="1">
      <alignment horizontal="center" readingOrder="0"/>
    </xf>
    <xf borderId="0" fillId="15" fontId="1" numFmtId="164" xfId="0" applyAlignment="1" applyFont="1" applyNumberFormat="1">
      <alignment horizontal="center" readingOrder="0"/>
    </xf>
    <xf borderId="0" fillId="16" fontId="2" numFmtId="164" xfId="0" applyFont="1" applyNumberFormat="1"/>
    <xf borderId="1" fillId="15" fontId="1" numFmtId="0" xfId="0" applyAlignment="1" applyBorder="1" applyFont="1">
      <alignment horizontal="center" readingOrder="0"/>
    </xf>
    <xf borderId="0" fillId="15" fontId="1" numFmtId="164" xfId="0" applyFont="1" applyNumberFormat="1"/>
    <xf borderId="0" fillId="18" fontId="2" numFmtId="164" xfId="0" applyFill="1" applyFont="1" applyNumberFormat="1"/>
    <xf borderId="0" fillId="19" fontId="5" numFmtId="0" xfId="0" applyAlignment="1" applyFill="1" applyFont="1">
      <alignment horizontal="center" readingOrder="0"/>
    </xf>
    <xf borderId="0" fillId="4" fontId="1" numFmtId="0" xfId="0" applyAlignment="1" applyFont="1">
      <alignment horizontal="center" readingOrder="0"/>
    </xf>
    <xf borderId="0" fillId="4" fontId="2" numFmtId="164" xfId="0" applyFont="1" applyNumberFormat="1"/>
    <xf borderId="0" fillId="4" fontId="5" numFmtId="164" xfId="0" applyAlignment="1" applyFont="1" applyNumberFormat="1">
      <alignment horizontal="right" readingOrder="0"/>
    </xf>
    <xf borderId="0" fillId="11" fontId="5" numFmtId="0" xfId="0" applyAlignment="1" applyFont="1">
      <alignment horizontal="right" readingOrder="0"/>
    </xf>
    <xf borderId="0" fillId="0" fontId="6" numFmtId="0" xfId="0" applyAlignment="1" applyFont="1">
      <alignment horizontal="center" readingOrder="0"/>
    </xf>
    <xf borderId="0" fillId="11" fontId="7" numFmtId="0" xfId="0" applyFont="1"/>
    <xf borderId="4" fillId="0" fontId="8" numFmtId="0" xfId="0" applyAlignment="1" applyBorder="1" applyFont="1">
      <alignment horizontal="center" vertical="bottom"/>
    </xf>
    <xf borderId="5" fillId="0" fontId="3" numFmtId="0" xfId="0" applyBorder="1" applyFont="1"/>
    <xf borderId="5" fillId="11" fontId="9" numFmtId="0" xfId="0" applyAlignment="1" applyBorder="1" applyFont="1">
      <alignment vertical="bottom"/>
    </xf>
    <xf borderId="5" fillId="11" fontId="7" numFmtId="164" xfId="0" applyAlignment="1" applyBorder="1" applyFont="1" applyNumberFormat="1">
      <alignment horizontal="right" vertical="bottom"/>
    </xf>
    <xf borderId="6" fillId="0" fontId="3" numFmtId="0" xfId="0" applyBorder="1" applyFont="1"/>
    <xf borderId="7" fillId="0" fontId="8" numFmtId="0" xfId="0" applyAlignment="1" applyBorder="1" applyFont="1">
      <alignment horizontal="center" vertical="bottom"/>
    </xf>
    <xf borderId="8" fillId="0" fontId="3" numFmtId="0" xfId="0" applyBorder="1" applyFont="1"/>
    <xf borderId="8" fillId="11" fontId="9" numFmtId="0" xfId="0" applyAlignment="1" applyBorder="1" applyFont="1">
      <alignment vertical="bottom"/>
    </xf>
    <xf borderId="8" fillId="11" fontId="7" numFmtId="164" xfId="0" applyAlignment="1" applyBorder="1" applyFont="1" applyNumberFormat="1">
      <alignment horizontal="right" vertical="bottom"/>
    </xf>
    <xf borderId="9" fillId="0" fontId="3" numFmtId="0" xfId="0" applyBorder="1" applyFont="1"/>
    <xf borderId="10" fillId="0" fontId="6" numFmtId="0" xfId="0" applyAlignment="1" applyBorder="1" applyFont="1">
      <alignment horizontal="center" readingOrder="0"/>
    </xf>
    <xf borderId="11" fillId="0" fontId="3" numFmtId="0" xfId="0" applyBorder="1" applyFont="1"/>
    <xf borderId="11" fillId="11" fontId="7" numFmtId="0" xfId="0" applyBorder="1" applyFont="1"/>
    <xf borderId="11" fillId="20" fontId="10" numFmtId="164" xfId="0" applyBorder="1" applyFill="1" applyFont="1" applyNumberFormat="1"/>
    <xf borderId="12" fillId="0" fontId="3" numFmtId="0" xfId="0" applyBorder="1" applyFont="1"/>
    <xf borderId="0" fillId="0" fontId="11" numFmtId="0" xfId="0" applyAlignment="1" applyFont="1">
      <alignment vertical="bottom"/>
    </xf>
    <xf borderId="0" fillId="0" fontId="11" numFmtId="0" xfId="0" applyAlignment="1" applyFont="1">
      <alignment horizontal="right" readingOrder="0" vertical="bottom"/>
    </xf>
    <xf borderId="0" fillId="0" fontId="11" numFmtId="3" xfId="0" applyAlignment="1" applyFont="1" applyNumberFormat="1">
      <alignment horizontal="right" readingOrder="0" vertical="bottom"/>
    </xf>
    <xf borderId="0" fillId="0" fontId="11" numFmtId="0" xfId="0" applyAlignment="1" applyFont="1">
      <alignment horizontal="right" vertical="bottom"/>
    </xf>
    <xf borderId="0" fillId="0" fontId="2" numFmtId="0" xfId="0" applyFont="1"/>
    <xf borderId="13" fillId="21" fontId="12" numFmtId="0" xfId="0" applyAlignment="1" applyBorder="1" applyFill="1" applyFont="1">
      <alignment horizontal="center" vertical="top"/>
    </xf>
    <xf borderId="13" fillId="21" fontId="12" numFmtId="164" xfId="0" applyAlignment="1" applyBorder="1" applyFont="1" applyNumberFormat="1">
      <alignment horizontal="center" vertical="top"/>
    </xf>
    <xf borderId="0" fillId="21" fontId="12" numFmtId="0" xfId="0" applyAlignment="1" applyFont="1">
      <alignment horizontal="center" readingOrder="0" vertical="top"/>
    </xf>
    <xf borderId="0" fillId="0" fontId="2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4" xfId="0" applyFont="1" applyNumberFormat="1"/>
    <xf borderId="13" fillId="22" fontId="12" numFmtId="0" xfId="0" applyAlignment="1" applyBorder="1" applyFill="1" applyFont="1">
      <alignment horizontal="center" vertical="top"/>
    </xf>
    <xf borderId="13" fillId="22" fontId="12" numFmtId="0" xfId="0" applyAlignment="1" applyBorder="1" applyFont="1">
      <alignment horizontal="center" readingOrder="0" vertical="top"/>
    </xf>
    <xf borderId="0" fillId="11" fontId="2" numFmtId="0" xfId="0" applyAlignment="1" applyFont="1">
      <alignment horizontal="center" readingOrder="0"/>
    </xf>
    <xf borderId="0" fillId="11" fontId="2" numFmtId="164" xfId="0" applyFont="1" applyNumberFormat="1"/>
    <xf borderId="0" fillId="23" fontId="2" numFmtId="0" xfId="0" applyFill="1" applyFont="1"/>
    <xf borderId="0" fillId="23" fontId="2" numFmtId="0" xfId="0" applyAlignment="1" applyFont="1">
      <alignment horizontal="right" readingOrder="0"/>
    </xf>
    <xf borderId="0" fillId="23" fontId="2" numFmtId="0" xfId="0" applyAlignment="1" applyFont="1">
      <alignment horizontal="center" readingOrder="0"/>
    </xf>
    <xf borderId="0" fillId="23" fontId="2" numFmtId="164" xfId="0" applyFont="1" applyNumberFormat="1"/>
    <xf borderId="0" fillId="23" fontId="2" numFmtId="164" xfId="0" applyFont="1" applyNumberFormat="1"/>
    <xf borderId="0" fillId="11" fontId="2" numFmtId="2" xfId="0" applyAlignment="1" applyFont="1" applyNumberFormat="1">
      <alignment readingOrder="0"/>
    </xf>
    <xf borderId="0" fillId="11" fontId="2" numFmtId="164" xfId="0" applyAlignment="1" applyFont="1" applyNumberFormat="1">
      <alignment readingOrder="0"/>
    </xf>
    <xf borderId="0" fillId="23" fontId="2" numFmtId="0" xfId="0" applyAlignment="1" applyFont="1">
      <alignment readingOrder="0"/>
    </xf>
    <xf borderId="0" fillId="23" fontId="2" numFmtId="164" xfId="0" applyAlignment="1" applyFont="1" applyNumberFormat="1">
      <alignment readingOrder="0"/>
    </xf>
    <xf borderId="0" fillId="23" fontId="2" numFmtId="0" xfId="0" applyAlignment="1" applyFont="1">
      <alignment horizontal="left" readingOrder="0"/>
    </xf>
    <xf borderId="0" fillId="23" fontId="2" numFmtId="0" xfId="0" applyAlignment="1" applyFont="1">
      <alignment horizontal="center"/>
    </xf>
    <xf borderId="0" fillId="11" fontId="2" numFmtId="0" xfId="0" applyAlignment="1" applyFont="1">
      <alignment horizontal="center"/>
    </xf>
    <xf borderId="0" fillId="23" fontId="2" numFmtId="0" xfId="0" applyAlignment="1" applyFont="1">
      <alignment horizontal="left"/>
    </xf>
    <xf borderId="0" fillId="11" fontId="13" numFmtId="0" xfId="0" applyAlignment="1" applyFont="1">
      <alignment horizontal="center"/>
    </xf>
    <xf borderId="0" fillId="11" fontId="13" numFmtId="164" xfId="0" applyFont="1" applyNumberFormat="1"/>
    <xf borderId="0" fillId="24" fontId="2" numFmtId="0" xfId="0" applyAlignment="1" applyFill="1" applyFont="1">
      <alignment horizontal="center" readingOrder="0"/>
    </xf>
    <xf borderId="0" fillId="24" fontId="2" numFmtId="164" xfId="0" applyFont="1" applyNumberFormat="1"/>
    <xf borderId="0" fillId="25" fontId="2" numFmtId="0" xfId="0" applyAlignment="1" applyFill="1" applyFont="1">
      <alignment readingOrder="0"/>
    </xf>
    <xf borderId="0" fillId="25" fontId="2" numFmtId="0" xfId="0" applyFont="1"/>
    <xf borderId="0" fillId="25" fontId="2" numFmtId="2" xfId="0" applyAlignment="1" applyFont="1" applyNumberFormat="1">
      <alignment readingOrder="0"/>
    </xf>
    <xf borderId="14" fillId="26" fontId="9" numFmtId="0" xfId="0" applyBorder="1" applyFill="1" applyFont="1"/>
    <xf borderId="14" fillId="27" fontId="9" numFmtId="0" xfId="0" applyBorder="1" applyFill="1" applyFont="1"/>
    <xf borderId="14" fillId="10" fontId="9" numFmtId="0" xfId="0" applyAlignment="1" applyBorder="1" applyFont="1">
      <alignment readingOrder="0"/>
    </xf>
    <xf borderId="0" fillId="4" fontId="2" numFmtId="164" xfId="0" applyAlignment="1" applyFont="1" applyNumberFormat="1">
      <alignment readingOrder="0"/>
    </xf>
    <xf borderId="0" fillId="28" fontId="2" numFmtId="164" xfId="0" applyAlignment="1" applyFill="1" applyFont="1" applyNumberFormat="1">
      <alignment readingOrder="0"/>
    </xf>
    <xf borderId="0" fillId="29" fontId="1" numFmtId="0" xfId="0" applyAlignment="1" applyFill="1" applyFont="1">
      <alignment readingOrder="0"/>
    </xf>
    <xf borderId="0" fillId="30" fontId="2" numFmtId="0" xfId="0" applyAlignment="1" applyFill="1" applyFont="1">
      <alignment readingOrder="0"/>
    </xf>
    <xf borderId="0" fillId="31" fontId="2" numFmtId="164" xfId="0" applyAlignment="1" applyFill="1" applyFont="1" applyNumberFormat="1">
      <alignment readingOrder="0"/>
    </xf>
    <xf borderId="0" fillId="3" fontId="2" numFmtId="164" xfId="0" applyAlignment="1" applyFont="1" applyNumberFormat="1">
      <alignment readingOrder="0"/>
    </xf>
    <xf borderId="0" fillId="21" fontId="2" numFmtId="164" xfId="0" applyFont="1" applyNumberFormat="1"/>
    <xf borderId="0" fillId="0" fontId="2" numFmtId="2" xfId="0" applyFont="1" applyNumberFormat="1"/>
    <xf borderId="0" fillId="21" fontId="2" numFmtId="0" xfId="0" applyFont="1"/>
    <xf borderId="13" fillId="8" fontId="12" numFmtId="0" xfId="0" applyAlignment="1" applyBorder="1" applyFont="1">
      <alignment horizontal="center" vertical="top"/>
    </xf>
    <xf borderId="13" fillId="8" fontId="12" numFmtId="0" xfId="0" applyAlignment="1" applyBorder="1" applyFont="1">
      <alignment horizontal="center" readingOrder="0" vertical="top"/>
    </xf>
    <xf borderId="0" fillId="11" fontId="9" numFmtId="0" xfId="0" applyFont="1"/>
    <xf borderId="0" fillId="23" fontId="2" numFmtId="164" xfId="0" applyAlignment="1" applyFont="1" applyNumberFormat="1">
      <alignment readingOrder="0"/>
    </xf>
    <xf borderId="0" fillId="24" fontId="2" numFmtId="0" xfId="0" applyAlignment="1" applyFont="1">
      <alignment horizontal="center"/>
    </xf>
    <xf borderId="0" fillId="24" fontId="2" numFmtId="164" xfId="0" applyFont="1" applyNumberFormat="1"/>
    <xf borderId="0" fillId="24" fontId="2" numFmtId="0" xfId="0" applyFont="1"/>
    <xf borderId="0" fillId="11" fontId="9" numFmtId="164" xfId="0" applyFont="1" applyNumberFormat="1"/>
    <xf borderId="15" fillId="4" fontId="9" numFmtId="0" xfId="0" applyAlignment="1" applyBorder="1" applyFont="1">
      <alignment horizontal="center"/>
    </xf>
    <xf borderId="16" fillId="0" fontId="3" numFmtId="0" xfId="0" applyBorder="1" applyFont="1"/>
    <xf borderId="17" fillId="0" fontId="3" numFmtId="0" xfId="0" applyBorder="1" applyFont="1"/>
    <xf borderId="13" fillId="0" fontId="12" numFmtId="0" xfId="0" applyAlignment="1" applyBorder="1" applyFont="1">
      <alignment horizontal="center" vertical="top"/>
    </xf>
    <xf borderId="13" fillId="0" fontId="12" numFmtId="0" xfId="0" applyAlignment="1" applyBorder="1" applyFont="1">
      <alignment horizontal="center" readingOrder="0" vertical="top"/>
    </xf>
    <xf borderId="0" fillId="0" fontId="2" numFmtId="0" xfId="0" applyAlignment="1" applyFont="1">
      <alignment horizontal="center"/>
    </xf>
    <xf borderId="0" fillId="19" fontId="2" numFmtId="164" xfId="0" applyFont="1" applyNumberFormat="1"/>
    <xf borderId="15" fillId="12" fontId="9" numFmtId="0" xfId="0" applyAlignment="1" applyBorder="1" applyFont="1">
      <alignment horizontal="center"/>
    </xf>
    <xf borderId="15" fillId="28" fontId="9" numFmtId="0" xfId="0" applyAlignment="1" applyBorder="1" applyFont="1">
      <alignment horizontal="center"/>
    </xf>
    <xf borderId="15" fillId="32" fontId="9" numFmtId="0" xfId="0" applyAlignment="1" applyBorder="1" applyFill="1" applyFont="1">
      <alignment horizontal="center" readingOrder="0"/>
    </xf>
    <xf borderId="15" fillId="12" fontId="9" numFmtId="0" xfId="0" applyAlignment="1" applyBorder="1" applyFont="1">
      <alignment horizontal="center" readingOrder="0"/>
    </xf>
    <xf borderId="14" fillId="33" fontId="12" numFmtId="0" xfId="0" applyAlignment="1" applyBorder="1" applyFill="1" applyFont="1">
      <alignment horizontal="center" shrinkToFit="0" vertical="center" wrapText="1"/>
    </xf>
    <xf borderId="15" fillId="33" fontId="12" numFmtId="0" xfId="0" applyAlignment="1" applyBorder="1" applyFont="1">
      <alignment horizontal="center" shrinkToFit="0" vertical="center" wrapText="1"/>
    </xf>
    <xf borderId="18" fillId="33" fontId="12" numFmtId="0" xfId="0" applyAlignment="1" applyBorder="1" applyFont="1">
      <alignment horizontal="center" shrinkToFit="0" vertical="center" wrapText="1"/>
    </xf>
    <xf borderId="14" fillId="34" fontId="9" numFmtId="0" xfId="0" applyAlignment="1" applyBorder="1" applyFill="1" applyFont="1">
      <alignment shrinkToFit="0" vertical="center" wrapText="1"/>
    </xf>
    <xf borderId="14" fillId="34" fontId="12" numFmtId="0" xfId="0" applyAlignment="1" applyBorder="1" applyFont="1">
      <alignment shrinkToFit="0" vertical="center" wrapText="1"/>
    </xf>
    <xf borderId="15" fillId="34" fontId="12" numFmtId="164" xfId="0" applyAlignment="1" applyBorder="1" applyFont="1" applyNumberFormat="1">
      <alignment shrinkToFit="0" vertical="center" wrapText="1"/>
    </xf>
    <xf borderId="18" fillId="34" fontId="9" numFmtId="164" xfId="0" applyBorder="1" applyFont="1" applyNumberFormat="1"/>
    <xf borderId="14" fillId="4" fontId="9" numFmtId="0" xfId="0" applyAlignment="1" applyBorder="1" applyFont="1">
      <alignment shrinkToFit="0" vertical="center" wrapText="1"/>
    </xf>
    <xf borderId="14" fillId="4" fontId="9" numFmtId="0" xfId="0" applyAlignment="1" applyBorder="1" applyFont="1">
      <alignment readingOrder="0" shrinkToFit="0" vertical="center" wrapText="1"/>
    </xf>
    <xf borderId="14" fillId="4" fontId="12" numFmtId="0" xfId="0" applyAlignment="1" applyBorder="1" applyFont="1">
      <alignment shrinkToFit="0" vertical="center" wrapText="1"/>
    </xf>
    <xf borderId="15" fillId="4" fontId="12" numFmtId="164" xfId="0" applyAlignment="1" applyBorder="1" applyFont="1" applyNumberFormat="1">
      <alignment shrinkToFit="0" vertical="center" wrapText="1"/>
    </xf>
    <xf borderId="18" fillId="4" fontId="9" numFmtId="164" xfId="0" applyBorder="1" applyFont="1" applyNumberFormat="1"/>
    <xf borderId="14" fillId="10" fontId="9" numFmtId="0" xfId="0" applyAlignment="1" applyBorder="1" applyFont="1">
      <alignment shrinkToFit="0" vertical="center" wrapText="1"/>
    </xf>
    <xf borderId="14" fillId="10" fontId="12" numFmtId="0" xfId="0" applyAlignment="1" applyBorder="1" applyFont="1">
      <alignment shrinkToFit="0" vertical="center" wrapText="1"/>
    </xf>
    <xf borderId="15" fillId="10" fontId="12" numFmtId="164" xfId="0" applyAlignment="1" applyBorder="1" applyFont="1" applyNumberFormat="1">
      <alignment shrinkToFit="0" vertical="center" wrapText="1"/>
    </xf>
    <xf borderId="18" fillId="10" fontId="9" numFmtId="164" xfId="0" applyBorder="1" applyFont="1" applyNumberFormat="1"/>
    <xf borderId="0" fillId="32" fontId="9" numFmtId="0" xfId="0" applyAlignment="1" applyFont="1">
      <alignment readingOrder="0" shrinkToFit="0" vertical="center" wrapText="1"/>
    </xf>
    <xf borderId="0" fillId="32" fontId="12" numFmtId="0" xfId="0" applyAlignment="1" applyFont="1">
      <alignment shrinkToFit="0" vertical="center" wrapText="1"/>
    </xf>
    <xf borderId="0" fillId="32" fontId="12" numFmtId="164" xfId="0" applyAlignment="1" applyFont="1" applyNumberFormat="1">
      <alignment shrinkToFit="0" vertical="center" wrapText="1"/>
    </xf>
    <xf borderId="18" fillId="32" fontId="9" numFmtId="164" xfId="0" applyBorder="1" applyFont="1" applyNumberFormat="1"/>
    <xf borderId="0" fillId="12" fontId="9" numFmtId="0" xfId="0" applyAlignment="1" applyFont="1">
      <alignment readingOrder="0" shrinkToFit="0" vertical="center" wrapText="1"/>
    </xf>
    <xf borderId="0" fillId="12" fontId="12" numFmtId="0" xfId="0" applyAlignment="1" applyFont="1">
      <alignment shrinkToFit="0" vertical="center" wrapText="1"/>
    </xf>
    <xf borderId="0" fillId="12" fontId="12" numFmtId="164" xfId="0" applyAlignment="1" applyFont="1" applyNumberFormat="1">
      <alignment shrinkToFit="0" vertical="center" wrapText="1"/>
    </xf>
    <xf borderId="18" fillId="12" fontId="9" numFmtId="164" xfId="0" applyBorder="1" applyFont="1" applyNumberFormat="1"/>
    <xf borderId="0" fillId="12" fontId="9" numFmtId="164" xfId="0" applyFont="1" applyNumberFormat="1"/>
    <xf borderId="0" fillId="35" fontId="14" numFmtId="0" xfId="0" applyAlignment="1" applyFill="1" applyFont="1">
      <alignment horizontal="center" shrinkToFit="0" vertical="center" wrapText="1"/>
    </xf>
    <xf borderId="0" fillId="35" fontId="14" numFmtId="0" xfId="0" applyAlignment="1" applyFont="1">
      <alignment shrinkToFit="0" vertical="center" wrapText="1"/>
    </xf>
    <xf borderId="0" fillId="0" fontId="12" numFmtId="0" xfId="0" applyAlignment="1" applyFont="1">
      <alignment shrinkToFit="0" vertical="center" wrapText="1"/>
    </xf>
    <xf borderId="13" fillId="31" fontId="12" numFmtId="0" xfId="0" applyAlignment="1" applyBorder="1" applyFont="1">
      <alignment horizontal="center" vertical="top"/>
    </xf>
    <xf borderId="13" fillId="31" fontId="12" numFmtId="0" xfId="0" applyAlignment="1" applyBorder="1" applyFont="1">
      <alignment horizontal="center" readingOrder="0" vertical="top"/>
    </xf>
    <xf borderId="0" fillId="31" fontId="2" numFmtId="0" xfId="0" applyFont="1"/>
    <xf borderId="0" fillId="31" fontId="2" numFmtId="0" xfId="0" applyAlignment="1" applyFont="1">
      <alignment readingOrder="0"/>
    </xf>
    <xf borderId="0" fillId="31" fontId="2" numFmtId="164" xfId="0" applyFont="1" applyNumberFormat="1"/>
    <xf borderId="0" fillId="31" fontId="9" numFmtId="164" xfId="0" applyFont="1" applyNumberFormat="1"/>
    <xf borderId="0" fillId="0" fontId="12" numFmtId="0" xfId="0" applyAlignment="1" applyFont="1">
      <alignment horizontal="center" shrinkToFit="0" vertical="center" wrapText="1"/>
    </xf>
    <xf borderId="14" fillId="2" fontId="9" numFmtId="0" xfId="0" applyAlignment="1" applyBorder="1" applyFont="1">
      <alignment readingOrder="0"/>
    </xf>
    <xf borderId="14" fillId="2" fontId="9" numFmtId="0" xfId="0" applyBorder="1" applyFont="1"/>
    <xf borderId="0" fillId="36" fontId="2" numFmtId="0" xfId="0" applyAlignment="1" applyFill="1" applyFont="1">
      <alignment horizontal="center" readingOrder="0"/>
    </xf>
    <xf borderId="0" fillId="37" fontId="2" numFmtId="164" xfId="0" applyFill="1" applyFont="1" applyNumberFormat="1"/>
    <xf borderId="14" fillId="38" fontId="12" numFmtId="0" xfId="0" applyAlignment="1" applyBorder="1" applyFill="1" applyFont="1">
      <alignment horizontal="center" shrinkToFit="0" vertical="center" wrapText="1"/>
    </xf>
    <xf borderId="14" fillId="26" fontId="9" numFmtId="0" xfId="0" applyAlignment="1" applyBorder="1" applyFont="1">
      <alignment readingOrder="0" shrinkToFit="0" vertical="center" wrapText="1"/>
    </xf>
    <xf borderId="14" fillId="26" fontId="12" numFmtId="0" xfId="0" applyAlignment="1" applyBorder="1" applyFont="1">
      <alignment shrinkToFit="0" vertical="center" wrapText="1"/>
    </xf>
    <xf borderId="14" fillId="26" fontId="12" numFmtId="2" xfId="0" applyAlignment="1" applyBorder="1" applyFont="1" applyNumberFormat="1">
      <alignment shrinkToFit="0" vertical="center" wrapText="1"/>
    </xf>
    <xf borderId="14" fillId="26" fontId="9" numFmtId="2" xfId="0" applyBorder="1" applyFont="1" applyNumberFormat="1"/>
    <xf borderId="14" fillId="19" fontId="9" numFmtId="0" xfId="0" applyAlignment="1" applyBorder="1" applyFont="1">
      <alignment readingOrder="0" shrinkToFit="0" vertical="center" wrapText="1"/>
    </xf>
    <xf borderId="14" fillId="19" fontId="12" numFmtId="0" xfId="0" applyAlignment="1" applyBorder="1" applyFont="1">
      <alignment shrinkToFit="0" vertical="center" wrapText="1"/>
    </xf>
    <xf borderId="14" fillId="19" fontId="12" numFmtId="2" xfId="0" applyAlignment="1" applyBorder="1" applyFont="1" applyNumberFormat="1">
      <alignment shrinkToFit="0" vertical="center" wrapText="1"/>
    </xf>
    <xf borderId="14" fillId="19" fontId="9" numFmtId="2" xfId="0" applyBorder="1" applyFont="1" applyNumberFormat="1"/>
    <xf borderId="13" fillId="31" fontId="12" numFmtId="0" xfId="0" applyAlignment="1" applyBorder="1" applyFont="1">
      <alignment horizontal="center" vertical="top"/>
    </xf>
    <xf borderId="13" fillId="31" fontId="12" numFmtId="0" xfId="0" applyAlignment="1" applyBorder="1" applyFont="1">
      <alignment horizontal="center" readingOrder="0" vertical="top"/>
    </xf>
    <xf borderId="0" fillId="31" fontId="2" numFmtId="0" xfId="0" applyFont="1"/>
    <xf borderId="0" fillId="31" fontId="2" numFmtId="0" xfId="0" applyAlignment="1" applyFont="1">
      <alignment readingOrder="0"/>
    </xf>
    <xf borderId="0" fillId="31" fontId="2" numFmtId="164" xfId="0" applyFont="1" applyNumberFormat="1"/>
    <xf borderId="13" fillId="0" fontId="12" numFmtId="0" xfId="0" applyAlignment="1" applyBorder="1" applyFont="1">
      <alignment horizontal="center" vertical="top"/>
    </xf>
    <xf borderId="13" fillId="0" fontId="12" numFmtId="0" xfId="0" applyAlignment="1" applyBorder="1" applyFont="1">
      <alignment horizontal="center" readingOrder="0" vertical="top"/>
    </xf>
    <xf borderId="0" fillId="39" fontId="12" numFmtId="0" xfId="0" applyAlignment="1" applyFill="1" applyFont="1">
      <alignment horizontal="center" readingOrder="0" vertical="top"/>
    </xf>
    <xf borderId="0" fillId="0" fontId="12" numFmtId="0" xfId="0" applyAlignment="1" applyFont="1">
      <alignment horizontal="center" vertical="top"/>
    </xf>
    <xf borderId="0" fillId="0" fontId="12" numFmtId="0" xfId="0" applyAlignment="1" applyFont="1">
      <alignment horizontal="center" readingOrder="0" vertical="top"/>
    </xf>
    <xf borderId="0" fillId="0" fontId="2" numFmtId="0" xfId="0" applyAlignment="1" applyFont="1">
      <alignment horizontal="right" readingOrder="0"/>
    </xf>
    <xf borderId="0" fillId="0" fontId="13" numFmtId="2" xfId="0" applyFont="1" applyNumberFormat="1"/>
    <xf borderId="0" fillId="0" fontId="2" numFmtId="2" xfId="0" applyFont="1" applyNumberFormat="1"/>
    <xf borderId="0" fillId="39" fontId="13" numFmtId="0" xfId="0" applyAlignment="1" applyFont="1">
      <alignment readingOrder="0"/>
    </xf>
    <xf borderId="0" fillId="0" fontId="13" numFmtId="164" xfId="0" applyFont="1" applyNumberFormat="1"/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DD7E6B"/>
          <bgColor rgb="FFDD7E6B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6">
    <tableStyle count="3" pivot="0" name="Ingredients Price-style">
      <tableStyleElement dxfId="1" type="headerRow"/>
      <tableStyleElement dxfId="2" type="firstRowStripe"/>
      <tableStyleElement dxfId="3" type="secondRowStripe"/>
    </tableStyle>
    <tableStyle count="3" pivot="0" name="Product Cost &amp; Prices-style">
      <tableStyleElement dxfId="4" type="headerRow"/>
      <tableStyleElement dxfId="2" type="firstRowStripe"/>
      <tableStyleElement dxfId="5" type="secondRowStripe"/>
    </tableStyle>
    <tableStyle count="3" pivot="0" name="Wandu Cost Calculator-style">
      <tableStyleElement dxfId="8" type="headerRow"/>
      <tableStyleElement dxfId="2" type="firstRowStripe"/>
      <tableStyleElement dxfId="9" type="secondRowStripe"/>
    </tableStyle>
    <tableStyle count="3" pivot="0" name="Wafers Cake Cost Calculator-style">
      <tableStyleElement dxfId="8" type="headerRow"/>
      <tableStyleElement dxfId="2" type="firstRowStripe"/>
      <tableStyleElement dxfId="9" type="secondRowStripe"/>
    </tableStyle>
    <tableStyle count="3" pivot="0" name="Cup Cake Cost Calculator-style">
      <tableStyleElement dxfId="8" type="headerRow"/>
      <tableStyleElement dxfId="2" type="firstRowStripe"/>
      <tableStyleElement dxfId="9" type="secondRowStripe"/>
    </tableStyle>
    <tableStyle count="3" pivot="0" name="Cup Cake Cost Calculator-style 2">
      <tableStyleElement dxfId="8" type="headerRow"/>
      <tableStyleElement dxfId="2" type="firstRowStripe"/>
      <tableStyleElement dxfId="9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30" displayName="Table_1" name="Table_1" id="1">
  <tableColumns count="4">
    <tableColumn name="Ingredient" id="1"/>
    <tableColumn name="Unit" id="2"/>
    <tableColumn name="Price per Unit (in local currency)" id="3"/>
    <tableColumn name="Last Updated" id="4"/>
  </tableColumns>
  <tableStyleInfo name="Ingredients Price-style" showColumnStripes="0" showFirstColumn="1" showLastColumn="1" showRowStripes="1"/>
</table>
</file>

<file path=xl/tables/table2.xml><?xml version="1.0" encoding="utf-8"?>
<table xmlns="http://schemas.openxmlformats.org/spreadsheetml/2006/main" ref="A1:F16" displayName="Table_2" name="Table_2" id="2">
  <tableColumns count="6">
    <tableColumn name="Product" id="1"/>
    <tableColumn name="Cost" id="2"/>
    <tableColumn name="Profit Margin (%)" id="3"/>
    <tableColumn name="Profit Margin Price" id="4"/>
    <tableColumn name="Shop Price" id="5"/>
    <tableColumn name="Vehicle Price" id="6"/>
  </tableColumns>
  <tableStyleInfo name="Product Cost &amp; Prices-style" showColumnStripes="0" showFirstColumn="1" showLastColumn="1" showRowStripes="1"/>
</table>
</file>

<file path=xl/tables/table3.xml><?xml version="1.0" encoding="utf-8"?>
<table xmlns="http://schemas.openxmlformats.org/spreadsheetml/2006/main" ref="A1:D7" displayName="Table_3" name="Table_3" id="3">
  <tableColumns count="4">
    <tableColumn name="Ingredient" id="1"/>
    <tableColumn name="Quantity" id="2"/>
    <tableColumn name="Unit" id="3"/>
    <tableColumn name="Cost for Recipe" id="4"/>
  </tableColumns>
  <tableStyleInfo name="Wandu Cost Calculator-style" showColumnStripes="0" showFirstColumn="1" showLastColumn="1" showRowStripes="1"/>
</table>
</file>

<file path=xl/tables/table4.xml><?xml version="1.0" encoding="utf-8"?>
<table xmlns="http://schemas.openxmlformats.org/spreadsheetml/2006/main" ref="A1:D11" displayName="Table_4" name="Table_4" id="4">
  <tableColumns count="4">
    <tableColumn name="Ingredient" id="1"/>
    <tableColumn name="Quantity" id="2"/>
    <tableColumn name="Unit" id="3"/>
    <tableColumn name="Cost for Recipe" id="4"/>
  </tableColumns>
  <tableStyleInfo name="Wafers Cake Cost Calculator-style" showColumnStripes="0" showFirstColumn="1" showLastColumn="1" showRowStripes="1"/>
</table>
</file>

<file path=xl/tables/table5.xml><?xml version="1.0" encoding="utf-8"?>
<table xmlns="http://schemas.openxmlformats.org/spreadsheetml/2006/main" ref="A2:D6" displayName="Table_5" name="Table_5" id="5">
  <tableColumns count="4">
    <tableColumn name="Ingredient" id="1"/>
    <tableColumn name="Quantity" id="2"/>
    <tableColumn name="Unit" id="3"/>
    <tableColumn name="Cost for Recipe" id="4"/>
  </tableColumns>
  <tableStyleInfo name="Cup Cake Cost Calculator-style" showColumnStripes="0" showFirstColumn="1" showLastColumn="1" showRowStripes="1"/>
</table>
</file>

<file path=xl/tables/table6.xml><?xml version="1.0" encoding="utf-8"?>
<table xmlns="http://schemas.openxmlformats.org/spreadsheetml/2006/main" ref="A13:D20" displayName="Table_6" name="Table_6" id="6">
  <tableColumns count="4">
    <tableColumn name="Ingredient" id="1"/>
    <tableColumn name="Quantity" id="2"/>
    <tableColumn name="Unit" id="3"/>
    <tableColumn name="Cost for Recipe" id="4"/>
  </tableColumns>
  <tableStyleInfo name="Cup Cake Cost Calculator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3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4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41.14"/>
    <col customWidth="1" hidden="1" min="2" max="2" width="17.43"/>
    <col customWidth="1" min="3" max="3" width="10.57"/>
    <col customWidth="1" min="4" max="4" width="10.14"/>
    <col customWidth="1" min="6" max="6" width="11.57"/>
    <col hidden="1" min="7" max="7" width="14.43"/>
    <col customWidth="1" min="8" max="9" width="10.57"/>
    <col customWidth="1" min="10" max="10" width="13.86"/>
    <col customWidth="1" min="11" max="11" width="10.14"/>
    <col customWidth="1" min="12" max="12" width="13.0"/>
    <col customWidth="1" hidden="1" min="13" max="13" width="18.71"/>
    <col customWidth="1" min="14" max="15" width="18.71"/>
    <col customWidth="1" min="20" max="20" width="30.0"/>
    <col customWidth="1" min="21" max="21" width="12.43"/>
  </cols>
  <sheetData>
    <row r="1">
      <c r="A1" s="1" t="s">
        <v>0</v>
      </c>
      <c r="B1" s="1" t="s">
        <v>1</v>
      </c>
      <c r="C1" s="2" t="s">
        <v>2</v>
      </c>
      <c r="H1" s="3"/>
      <c r="I1" s="3" t="s">
        <v>3</v>
      </c>
      <c r="R1" s="4"/>
      <c r="S1" s="4"/>
      <c r="T1" s="5" t="s">
        <v>4</v>
      </c>
      <c r="U1" s="6"/>
    </row>
    <row r="2">
      <c r="C2" s="7" t="s">
        <v>5</v>
      </c>
      <c r="D2" s="8" t="s">
        <v>6</v>
      </c>
      <c r="E2" s="9" t="s">
        <v>7</v>
      </c>
      <c r="F2" s="9" t="s">
        <v>8</v>
      </c>
      <c r="G2" s="9" t="s">
        <v>9</v>
      </c>
      <c r="H2" s="10"/>
      <c r="I2" s="7" t="s">
        <v>10</v>
      </c>
      <c r="J2" s="11" t="s">
        <v>11</v>
      </c>
      <c r="K2" s="11" t="s">
        <v>6</v>
      </c>
      <c r="L2" s="9" t="s">
        <v>7</v>
      </c>
      <c r="M2" s="9" t="s">
        <v>8</v>
      </c>
      <c r="N2" s="12" t="s">
        <v>12</v>
      </c>
      <c r="O2" s="9" t="s">
        <v>9</v>
      </c>
      <c r="P2" s="9" t="s">
        <v>6</v>
      </c>
      <c r="Q2" s="9" t="s">
        <v>7</v>
      </c>
      <c r="S2" s="4"/>
      <c r="T2" s="13" t="s">
        <v>13</v>
      </c>
      <c r="U2" s="14">
        <v>0.0</v>
      </c>
    </row>
    <row r="3">
      <c r="A3" s="15" t="s">
        <v>14</v>
      </c>
      <c r="B3" s="13">
        <v>80.0</v>
      </c>
      <c r="C3" s="16">
        <v>34.0</v>
      </c>
      <c r="D3" s="13">
        <v>0.0</v>
      </c>
      <c r="E3" s="17">
        <f>((C3-D3) * 'Product Cost &amp; Prices'!B2)</f>
        <v>2567.242857</v>
      </c>
      <c r="F3" s="18">
        <f>((C3-D3) * 'Product Cost &amp; Prices'!F2)</f>
        <v>4420</v>
      </c>
      <c r="G3" s="17">
        <f>((C3-D3) * 'Product Cost &amp; Prices'!F2) - ((C3-D3) * 'Product Cost &amp; Prices'!B2)</f>
        <v>1852.757143</v>
      </c>
      <c r="H3" s="13"/>
      <c r="I3" s="16">
        <v>25.0</v>
      </c>
      <c r="J3" s="19">
        <f t="shared" ref="J3:J8" si="1">I3</f>
        <v>25</v>
      </c>
      <c r="K3" s="19">
        <v>0.0</v>
      </c>
      <c r="L3" s="17">
        <f>(J3-K3) * 'Product Cost &amp; Prices'!B2</f>
        <v>1887.678571</v>
      </c>
      <c r="M3" s="17">
        <f>($J3-$K3) * 'Product Cost &amp; Prices'!E2</f>
        <v>2750</v>
      </c>
      <c r="N3" s="20">
        <f>($J3-$K3) * 'Product Cost &amp; Prices'!E2</f>
        <v>2750</v>
      </c>
      <c r="O3" s="17">
        <f>((J3-K3) * 'Product Cost &amp; Prices'!E2) - ((J3-K3) * 'Product Cost &amp; Prices'!B2)</f>
        <v>862.3214286</v>
      </c>
      <c r="P3" s="13"/>
      <c r="Q3" s="17">
        <f>P3*'Bread Cost Calculator'!E9</f>
        <v>0</v>
      </c>
      <c r="T3" s="21" t="s">
        <v>15</v>
      </c>
      <c r="U3" s="22">
        <v>0.0</v>
      </c>
    </row>
    <row r="4">
      <c r="A4" s="23" t="s">
        <v>16</v>
      </c>
      <c r="B4" s="23">
        <v>2.0</v>
      </c>
      <c r="C4" s="24">
        <v>0.0</v>
      </c>
      <c r="D4" s="23">
        <v>0.0</v>
      </c>
      <c r="E4" s="25">
        <f>((C4-D4) * 'Product Cost &amp; Prices'!B3)</f>
        <v>0</v>
      </c>
      <c r="F4" s="18">
        <f>((C4-D4) * 'Product Cost &amp; Prices'!F3)</f>
        <v>0</v>
      </c>
      <c r="G4" s="26"/>
      <c r="H4" s="23"/>
      <c r="I4" s="27">
        <v>0.0</v>
      </c>
      <c r="J4" s="28">
        <f t="shared" si="1"/>
        <v>0</v>
      </c>
      <c r="K4" s="28">
        <v>0.0</v>
      </c>
      <c r="L4" s="25">
        <f>(J4-K4) * 'Product Cost &amp; Prices'!B3</f>
        <v>0</v>
      </c>
      <c r="M4" s="25">
        <f>($J4-$K4) * 'Product Cost &amp; Prices'!E3</f>
        <v>0</v>
      </c>
      <c r="N4" s="20">
        <f>($J4-$K4) * 'Product Cost &amp; Prices'!E3</f>
        <v>0</v>
      </c>
      <c r="O4" s="25">
        <f>((J4-K4) * 'Product Cost &amp; Prices'!E3) - ((J4-K4) * 'Product Cost &amp; Prices'!B3)</f>
        <v>0</v>
      </c>
      <c r="P4" s="23"/>
      <c r="Q4" s="25">
        <f>P4*'Bread Cost Calculator'!E9</f>
        <v>0</v>
      </c>
      <c r="T4" s="13" t="s">
        <v>17</v>
      </c>
      <c r="U4" s="14">
        <v>0.0</v>
      </c>
    </row>
    <row r="5">
      <c r="A5" s="15" t="s">
        <v>18</v>
      </c>
      <c r="B5" s="13">
        <v>55.0</v>
      </c>
      <c r="C5" s="16">
        <v>35.0</v>
      </c>
      <c r="D5" s="13">
        <v>6.0</v>
      </c>
      <c r="E5" s="17">
        <f>((C5-D5) * 'Product Cost &amp; Prices'!B5)</f>
        <v>557.3478067</v>
      </c>
      <c r="F5" s="18">
        <f>((C5-D5) * 'Product Cost &amp; Prices'!F5)</f>
        <v>1740</v>
      </c>
      <c r="G5" s="17">
        <f>((C5-D5) * 'Product Cost &amp; Prices'!F5) - ((C5-D5) * 'Product Cost &amp; Prices'!B5)</f>
        <v>1182.652193</v>
      </c>
      <c r="H5" s="13"/>
      <c r="I5" s="16">
        <v>25.0</v>
      </c>
      <c r="J5" s="19">
        <f t="shared" si="1"/>
        <v>25</v>
      </c>
      <c r="K5" s="19">
        <v>0.0</v>
      </c>
      <c r="L5" s="17">
        <f>(J5-K5) * 'Product Cost &amp; Prices'!B5</f>
        <v>480.4722472</v>
      </c>
      <c r="M5" s="17">
        <f>(J5-K5) * 'Product Cost &amp; Prices'!E5</f>
        <v>1375</v>
      </c>
      <c r="N5" s="20">
        <f>(J5-K5) * 'Product Cost &amp; Prices'!E5</f>
        <v>1375</v>
      </c>
      <c r="O5" s="17">
        <f>((J5-K5) * 'Product Cost &amp; Prices'!E5) - ((J5-K5) * 'Product Cost &amp; Prices'!B5)</f>
        <v>894.5277528</v>
      </c>
      <c r="P5" s="13"/>
      <c r="Q5" s="17">
        <f>P5*'Genaral Bun Cost Calculator'!D32</f>
        <v>0</v>
      </c>
      <c r="T5" s="21" t="s">
        <v>19</v>
      </c>
      <c r="U5" s="22">
        <v>0.0</v>
      </c>
    </row>
    <row r="6">
      <c r="A6" s="26" t="s">
        <v>20</v>
      </c>
      <c r="B6" s="23">
        <v>15.0</v>
      </c>
      <c r="C6" s="24">
        <v>10.0</v>
      </c>
      <c r="D6" s="23">
        <v>0.0</v>
      </c>
      <c r="E6" s="25">
        <f>((C6-D6) * 'Product Cost &amp; Prices'!B6)</f>
        <v>164.4114901</v>
      </c>
      <c r="F6" s="18">
        <f>((C6-D6) * 'Product Cost &amp; Prices'!F6)</f>
        <v>400</v>
      </c>
      <c r="G6" s="25">
        <f>((C6-D6) * 'Product Cost &amp; Prices'!F6) - ((C6-D6) * 'Product Cost &amp; Prices'!B6)</f>
        <v>235.5885099</v>
      </c>
      <c r="H6" s="23"/>
      <c r="I6" s="24">
        <v>5.0</v>
      </c>
      <c r="J6" s="28">
        <f t="shared" si="1"/>
        <v>5</v>
      </c>
      <c r="K6" s="28">
        <v>0.0</v>
      </c>
      <c r="L6" s="25">
        <f>(J6-K6) * 'Product Cost &amp; Prices'!B6</f>
        <v>82.20574506</v>
      </c>
      <c r="M6" s="25">
        <f>(J6-K6) * 'Product Cost &amp; Prices'!E6</f>
        <v>175</v>
      </c>
      <c r="N6" s="20">
        <f>(J6-K6) * 'Product Cost &amp; Prices'!E6</f>
        <v>175</v>
      </c>
      <c r="O6" s="25">
        <f>((J6-K6) * 'Product Cost &amp; Prices'!E6) - ((J6-K6) * 'Product Cost &amp; Prices'!B6)</f>
        <v>92.79425494</v>
      </c>
      <c r="P6" s="23"/>
      <c r="Q6" s="25">
        <f>P6*'Genaral Bun Cost Calculator'!D14</f>
        <v>0</v>
      </c>
      <c r="T6" s="13" t="s">
        <v>21</v>
      </c>
      <c r="U6" s="14">
        <v>0.0</v>
      </c>
    </row>
    <row r="7">
      <c r="A7" s="15" t="s">
        <v>22</v>
      </c>
      <c r="B7" s="13">
        <v>50.0</v>
      </c>
      <c r="C7" s="16">
        <v>40.0</v>
      </c>
      <c r="D7" s="13">
        <v>9.0</v>
      </c>
      <c r="E7" s="17">
        <f>((C7-D7) * 'Product Cost &amp; Prices'!B7)</f>
        <v>620.5752531</v>
      </c>
      <c r="F7" s="18">
        <f>((C7-D7) * 'Product Cost &amp; Prices'!F7)</f>
        <v>1550</v>
      </c>
      <c r="G7" s="17">
        <f>((C7-D7) * 'Product Cost &amp; Prices'!F7) - ((C7-D7) * 'Product Cost &amp; Prices'!B7)</f>
        <v>929.4247469</v>
      </c>
      <c r="H7" s="13"/>
      <c r="I7" s="16">
        <v>29.0</v>
      </c>
      <c r="J7" s="19">
        <f t="shared" si="1"/>
        <v>29</v>
      </c>
      <c r="K7" s="19">
        <v>0.0</v>
      </c>
      <c r="L7" s="17">
        <f>(J7-K7) * 'Product Cost &amp; Prices'!B7</f>
        <v>580.53814</v>
      </c>
      <c r="M7" s="17">
        <f>(J7-K7) * 'Product Cost &amp; Prices'!E7</f>
        <v>1305</v>
      </c>
      <c r="N7" s="20">
        <f>(J7-K7) * 'Product Cost &amp; Prices'!E7</f>
        <v>1305</v>
      </c>
      <c r="O7" s="17">
        <f>((J7-K7) * 'Product Cost &amp; Prices'!E7) - ((J7-K7) * 'Product Cost &amp; Prices'!B7)</f>
        <v>724.46186</v>
      </c>
      <c r="P7" s="13"/>
      <c r="Q7" s="17">
        <f>P7*'Genaral Bun Cost Calculator'!D21</f>
        <v>0</v>
      </c>
      <c r="T7" s="21" t="s">
        <v>23</v>
      </c>
      <c r="U7" s="22">
        <v>0.0</v>
      </c>
    </row>
    <row r="8">
      <c r="A8" s="23" t="s">
        <v>24</v>
      </c>
      <c r="B8" s="23">
        <v>60.0</v>
      </c>
      <c r="C8" s="29">
        <v>60.0</v>
      </c>
      <c r="D8" s="30">
        <v>0.0</v>
      </c>
      <c r="E8" s="25">
        <f>((C8-D8) * 'Product Cost &amp; Prices'!B14)</f>
        <v>744.7752809</v>
      </c>
      <c r="F8" s="18">
        <f>((C8-D8) * 'Product Cost &amp; Prices'!F14)</f>
        <v>2100</v>
      </c>
      <c r="G8" s="25">
        <f>((C8-D8) * 'Product Cost &amp; Prices'!F14) - ((C8-D8) * 'Product Cost &amp; Prices'!B14)</f>
        <v>1355.224719</v>
      </c>
      <c r="H8" s="30"/>
      <c r="I8" s="29">
        <v>6.0</v>
      </c>
      <c r="J8" s="28">
        <f t="shared" si="1"/>
        <v>6</v>
      </c>
      <c r="K8" s="31">
        <v>0.0</v>
      </c>
      <c r="L8" s="25">
        <f>(J8-K8) * 'Product Cost &amp; Prices'!B14</f>
        <v>74.47752809</v>
      </c>
      <c r="M8" s="25">
        <f>(J8-K8) * 'Product Cost &amp; Prices'!E14</f>
        <v>180</v>
      </c>
      <c r="N8" s="20">
        <f>(J8-K8) * 'Product Cost &amp; Prices'!E14</f>
        <v>180</v>
      </c>
      <c r="O8" s="25">
        <f>((J8-K8) * 'Product Cost &amp; Prices'!E14) - ((J8-K8) * 'Product Cost &amp; Prices'!B14)</f>
        <v>105.5224719</v>
      </c>
      <c r="P8" s="23"/>
      <c r="Q8" s="25">
        <f>P8*'Roast Bread Cost Calculator'!E9</f>
        <v>0</v>
      </c>
      <c r="T8" s="13" t="s">
        <v>25</v>
      </c>
      <c r="U8" s="14">
        <v>0.0</v>
      </c>
    </row>
    <row r="9">
      <c r="A9" s="13" t="s">
        <v>26</v>
      </c>
      <c r="B9" s="13">
        <v>10.0</v>
      </c>
      <c r="C9" s="16">
        <v>10.0</v>
      </c>
      <c r="D9" s="13">
        <v>4.0</v>
      </c>
      <c r="E9" s="17">
        <f>((C9-D9) * 'Product Cost &amp; Prices'!B8)</f>
        <v>274.5583483</v>
      </c>
      <c r="F9" s="18">
        <f>((C9-D9) * 'Product Cost &amp; Prices'!F8)</f>
        <v>600</v>
      </c>
      <c r="G9" s="17">
        <f>((C9-D9) * 'Product Cost &amp; Prices'!F8) - ((C9-D9) * 'Product Cost &amp; Prices'!B8)</f>
        <v>325.4416517</v>
      </c>
      <c r="H9" s="13"/>
      <c r="I9" s="16">
        <v>0.0</v>
      </c>
      <c r="J9" s="19">
        <v>0.0</v>
      </c>
      <c r="K9" s="32">
        <v>0.0</v>
      </c>
      <c r="L9" s="17">
        <f>(J9-K9) * 'Product Cost &amp; Prices'!B8</f>
        <v>0</v>
      </c>
      <c r="M9" s="17">
        <f>(J9-K9) * 'Product Cost &amp; Prices'!E8</f>
        <v>0</v>
      </c>
      <c r="N9" s="20">
        <f>(J9-K9) * 'Product Cost &amp; Prices'!E8</f>
        <v>0</v>
      </c>
      <c r="O9" s="17">
        <f>((J9-K9) * 'Product Cost &amp; Prices'!E8) - ((J9-K9) * 'Product Cost &amp; Prices'!B8)</f>
        <v>0</v>
      </c>
      <c r="P9" s="15"/>
      <c r="Q9" s="15"/>
      <c r="T9" s="21" t="s">
        <v>27</v>
      </c>
      <c r="U9" s="21">
        <v>0.0</v>
      </c>
    </row>
    <row r="10">
      <c r="A10" s="23" t="s">
        <v>28</v>
      </c>
      <c r="B10" s="23"/>
      <c r="C10" s="24">
        <v>0.0</v>
      </c>
      <c r="D10" s="23">
        <v>0.0</v>
      </c>
      <c r="E10" s="25">
        <f>((C10-D10) * 'Product Cost &amp; Prices'!B9)</f>
        <v>0</v>
      </c>
      <c r="F10" s="18">
        <f>((C10-D10) * 'Product Cost &amp; Prices'!F9)</f>
        <v>0</v>
      </c>
      <c r="G10" s="25">
        <f>((C10-D10) * 'Product Cost &amp; Prices'!F9) - ((C10-D10) * 'Product Cost &amp; Prices'!B9)</f>
        <v>0</v>
      </c>
      <c r="H10" s="23"/>
      <c r="I10" s="24">
        <v>0.0</v>
      </c>
      <c r="J10" s="28">
        <f t="shared" ref="J10:J15" si="2">I10</f>
        <v>0</v>
      </c>
      <c r="K10" s="31">
        <v>0.0</v>
      </c>
      <c r="L10" s="25">
        <f>(J10-K10) * 'Product Cost &amp; Prices'!B9</f>
        <v>0</v>
      </c>
      <c r="M10" s="25">
        <f>(J10-K10) * 'Product Cost &amp; Prices'!E9</f>
        <v>0</v>
      </c>
      <c r="N10" s="12">
        <v>0.0</v>
      </c>
      <c r="O10" s="25">
        <f>((J10-K10) * 'Product Cost &amp; Prices'!E9) - ((J10-K10) * 'Product Cost &amp; Prices'!B9)</f>
        <v>0</v>
      </c>
      <c r="P10" s="26"/>
      <c r="Q10" s="26"/>
      <c r="T10" s="13" t="s">
        <v>29</v>
      </c>
      <c r="U10" s="13">
        <v>0.0</v>
      </c>
    </row>
    <row r="11" ht="15.75" customHeight="1">
      <c r="A11" s="13" t="s">
        <v>30</v>
      </c>
      <c r="B11" s="13"/>
      <c r="C11" s="33">
        <v>12.0</v>
      </c>
      <c r="D11" s="34">
        <v>11.0</v>
      </c>
      <c r="E11" s="17">
        <f>((C11-D11) * 'Product Cost &amp; Prices'!B10)</f>
        <v>31.70217391</v>
      </c>
      <c r="F11" s="18">
        <f>((C11-D11) * 'Product Cost &amp; Prices'!F10)</f>
        <v>50</v>
      </c>
      <c r="G11" s="17">
        <f>((C11-D11) * 'Product Cost &amp; Prices'!F10) - ((C11-D11) * 'Product Cost &amp; Prices'!B10)</f>
        <v>18.29782609</v>
      </c>
      <c r="H11" s="34"/>
      <c r="I11" s="33">
        <v>4.0</v>
      </c>
      <c r="J11" s="19">
        <f t="shared" si="2"/>
        <v>4</v>
      </c>
      <c r="K11" s="32">
        <v>0.0</v>
      </c>
      <c r="L11" s="17">
        <f>(J11-K11) * 'Product Cost &amp; Prices'!B10</f>
        <v>126.8086957</v>
      </c>
      <c r="M11" s="17">
        <f>(J11-K11) * 'Product Cost &amp; Prices'!E10</f>
        <v>180</v>
      </c>
      <c r="N11" s="20">
        <f>(J11-K11) * 'Product Cost &amp; Prices'!E10</f>
        <v>180</v>
      </c>
      <c r="O11" s="17">
        <f>((J11-K11) * 'Product Cost &amp; Prices'!E10) - ((J11-K11) * 'Product Cost &amp; Prices'!B10)</f>
        <v>53.19130435</v>
      </c>
      <c r="P11" s="15"/>
      <c r="Q11" s="15"/>
      <c r="T11" s="35" t="s">
        <v>31</v>
      </c>
      <c r="U11" s="36">
        <v>0.0</v>
      </c>
    </row>
    <row r="12" ht="15.75" customHeight="1">
      <c r="A12" s="23" t="s">
        <v>32</v>
      </c>
      <c r="B12" s="23"/>
      <c r="C12" s="29">
        <v>10.0</v>
      </c>
      <c r="D12" s="30">
        <v>6.0</v>
      </c>
      <c r="E12" s="25">
        <f>((C12-D12) * 'Product Cost &amp; Prices'!B11)</f>
        <v>144.7360507</v>
      </c>
      <c r="F12" s="18">
        <f>((C12-D12) * 'Product Cost &amp; Prices'!F11)</f>
        <v>240</v>
      </c>
      <c r="G12" s="25">
        <f>((C12-D12) * 'Product Cost &amp; Prices'!F11) - ((C12-D12) * 'Product Cost &amp; Prices'!B11)</f>
        <v>95.26394928</v>
      </c>
      <c r="H12" s="30"/>
      <c r="I12" s="29">
        <v>8.0</v>
      </c>
      <c r="J12" s="28">
        <f t="shared" si="2"/>
        <v>8</v>
      </c>
      <c r="K12" s="31">
        <v>0.0</v>
      </c>
      <c r="L12" s="25">
        <f>(J12-K12) * 'Product Cost &amp; Prices'!B11</f>
        <v>289.4721014</v>
      </c>
      <c r="M12" s="25">
        <f>(J12-K12) * 'Product Cost &amp; Prices'!E11</f>
        <v>440</v>
      </c>
      <c r="N12" s="20">
        <f>(J12-K12) * 'Product Cost &amp; Prices'!E11</f>
        <v>440</v>
      </c>
      <c r="O12" s="25">
        <f>((J12-K12) * 'Product Cost &amp; Prices'!E11) - ((J12-K12) * 'Product Cost &amp; Prices'!B11)</f>
        <v>150.5278986</v>
      </c>
      <c r="P12" s="26"/>
      <c r="Q12" s="26"/>
      <c r="T12" s="35" t="s">
        <v>33</v>
      </c>
      <c r="U12" s="37">
        <v>0.0</v>
      </c>
    </row>
    <row r="13">
      <c r="A13" s="38" t="s">
        <v>34</v>
      </c>
      <c r="B13" s="34">
        <v>20.0</v>
      </c>
      <c r="C13" s="33">
        <v>20.0</v>
      </c>
      <c r="D13" s="34">
        <v>13.0</v>
      </c>
      <c r="E13" s="17">
        <f>((C13-D13) * 'Product Cost &amp; Prices'!B12)</f>
        <v>166.502</v>
      </c>
      <c r="F13" s="18">
        <f>((C13-D13) * 'Product Cost &amp; Prices'!F12)</f>
        <v>350</v>
      </c>
      <c r="G13" s="17">
        <f>((C13-D13) * 'Product Cost &amp; Prices'!F12) - ((C13-D13) * 'Product Cost &amp; Prices'!B12)</f>
        <v>183.498</v>
      </c>
      <c r="H13" s="34"/>
      <c r="I13" s="33">
        <v>6.0</v>
      </c>
      <c r="J13" s="19">
        <f t="shared" si="2"/>
        <v>6</v>
      </c>
      <c r="K13" s="32">
        <v>0.0</v>
      </c>
      <c r="L13" s="17">
        <f>(J13-K13) * 'Product Cost &amp; Prices'!B12</f>
        <v>142.716</v>
      </c>
      <c r="M13" s="17">
        <f>(J13-K13) * 'Product Cost &amp; Prices'!E12</f>
        <v>270</v>
      </c>
      <c r="N13" s="20">
        <f>(J13-K13) * 'Product Cost &amp; Prices'!E12</f>
        <v>270</v>
      </c>
      <c r="O13" s="17">
        <f>((J13-K13) * 'Product Cost &amp; Prices'!E12) - ((J13-K13) * 'Product Cost &amp; Prices'!B12)</f>
        <v>127.284</v>
      </c>
      <c r="P13" s="13"/>
      <c r="Q13" s="15"/>
    </row>
    <row r="14">
      <c r="A14" s="39" t="s">
        <v>35</v>
      </c>
      <c r="B14" s="39"/>
      <c r="C14" s="29">
        <v>0.0</v>
      </c>
      <c r="D14" s="30">
        <v>0.0</v>
      </c>
      <c r="E14" s="25">
        <f>((C14-D14) * 'Product Cost &amp; Prices'!B15)</f>
        <v>0</v>
      </c>
      <c r="F14" s="18">
        <f>((C14-D14) * 'Product Cost &amp; Prices'!F15)</f>
        <v>0</v>
      </c>
      <c r="G14" s="26"/>
      <c r="H14" s="30"/>
      <c r="I14" s="29">
        <v>0.0</v>
      </c>
      <c r="J14" s="28">
        <f t="shared" si="2"/>
        <v>0</v>
      </c>
      <c r="K14" s="31">
        <v>0.0</v>
      </c>
      <c r="L14" s="25">
        <f>(J14-K14) * 'Product Cost &amp; Prices'!B15</f>
        <v>0</v>
      </c>
      <c r="M14" s="25">
        <f>(J14-K14) * 'Product Cost &amp; Prices'!E13</f>
        <v>0</v>
      </c>
      <c r="N14" s="20">
        <f>(J14-K14) * 'Product Cost &amp; Prices'!E15</f>
        <v>0</v>
      </c>
      <c r="O14" s="25">
        <f>((J14-K14) * 'Product Cost &amp; Prices'!E15) - ((J14-K14) * 'Product Cost &amp; Prices'!B15)</f>
        <v>0</v>
      </c>
      <c r="P14" s="23"/>
      <c r="Q14" s="26"/>
    </row>
    <row r="15">
      <c r="A15" s="38" t="s">
        <v>36</v>
      </c>
      <c r="B15" s="38"/>
      <c r="C15" s="33">
        <v>0.0</v>
      </c>
      <c r="D15" s="34">
        <v>0.0</v>
      </c>
      <c r="E15" s="17">
        <f>((C15-D15) * 'Product Cost &amp; Prices'!B13)</f>
        <v>0</v>
      </c>
      <c r="F15" s="18">
        <f>((C15-D15) * 'Product Cost &amp; Prices'!F13)</f>
        <v>0</v>
      </c>
      <c r="G15" s="17">
        <f>((C15-D15) * 'Product Cost &amp; Prices'!F13) - ((C15-D15) * 'Product Cost &amp; Prices'!B13)</f>
        <v>0</v>
      </c>
      <c r="H15" s="34"/>
      <c r="I15" s="33">
        <v>0.0</v>
      </c>
      <c r="J15" s="19">
        <f t="shared" si="2"/>
        <v>0</v>
      </c>
      <c r="K15" s="32">
        <v>0.0</v>
      </c>
      <c r="L15" s="17">
        <f>(J15-K15) * 'Product Cost &amp; Prices'!B13</f>
        <v>0</v>
      </c>
      <c r="M15" s="17">
        <f>(J15-K15) * 'Product Cost &amp; Prices'!E13</f>
        <v>0</v>
      </c>
      <c r="N15" s="20">
        <f>(J15-K15) * 'Product Cost &amp; Prices'!E13</f>
        <v>0</v>
      </c>
      <c r="O15" s="17">
        <f>((J15-K15) * 'Product Cost &amp; Prices'!E13) - ((J15-K15) * 'Product Cost &amp; Prices'!B13)</f>
        <v>0</v>
      </c>
      <c r="P15" s="15"/>
      <c r="Q15" s="15"/>
    </row>
    <row r="16">
      <c r="A16" s="23" t="s">
        <v>37</v>
      </c>
      <c r="B16" s="23"/>
      <c r="C16" s="24">
        <v>0.0</v>
      </c>
      <c r="D16" s="23"/>
      <c r="F16" s="40"/>
      <c r="G16" s="26"/>
      <c r="H16" s="30"/>
      <c r="I16" s="29">
        <v>0.0</v>
      </c>
      <c r="J16" s="23"/>
      <c r="K16" s="30"/>
      <c r="N16" s="41">
        <v>0.0</v>
      </c>
      <c r="P16" s="26"/>
      <c r="Q16" s="26"/>
      <c r="T16" s="42" t="s">
        <v>0</v>
      </c>
    </row>
    <row r="17">
      <c r="A17" s="13" t="s">
        <v>38</v>
      </c>
      <c r="B17" s="13"/>
      <c r="C17" s="16">
        <v>0.0</v>
      </c>
      <c r="D17" s="13"/>
      <c r="F17" s="40"/>
      <c r="G17" s="15"/>
      <c r="H17" s="34"/>
      <c r="I17" s="33">
        <v>0.0</v>
      </c>
      <c r="J17" s="13"/>
      <c r="K17" s="34"/>
      <c r="P17" s="15"/>
      <c r="Q17" s="15"/>
    </row>
    <row r="18">
      <c r="A18" s="23" t="s">
        <v>39</v>
      </c>
      <c r="B18" s="23"/>
      <c r="C18" s="24">
        <v>0.0</v>
      </c>
      <c r="D18" s="23">
        <v>0.0</v>
      </c>
      <c r="E18" s="25">
        <f>((C18-D18) * 'Product Cost &amp; Prices'!B16)</f>
        <v>0</v>
      </c>
      <c r="F18" s="18">
        <f>((C18-D18) * 'Product Cost &amp; Prices'!F16)</f>
        <v>0</v>
      </c>
      <c r="G18" s="26"/>
      <c r="H18" s="43"/>
      <c r="I18" s="44"/>
      <c r="J18" s="11"/>
      <c r="K18" s="43"/>
      <c r="L18" s="45"/>
      <c r="M18" s="45"/>
      <c r="N18" s="45"/>
      <c r="O18" s="45"/>
      <c r="P18" s="26"/>
      <c r="Q18" s="26"/>
    </row>
    <row r="19" ht="15.75" customHeight="1">
      <c r="A19" s="46" t="s">
        <v>40</v>
      </c>
      <c r="B19" s="46"/>
      <c r="C19" s="47">
        <v>28.0</v>
      </c>
      <c r="D19" s="46"/>
      <c r="E19" s="48">
        <f>((C19-D19) * 'Product Cost &amp; Prices'!B4)</f>
        <v>2114.2</v>
      </c>
      <c r="F19" s="18">
        <f>((C19-D19) * 'Product Cost &amp; Prices'!F4)</f>
        <v>3080</v>
      </c>
      <c r="G19" s="48">
        <f>((C19-D19) * 'Product Cost &amp; Prices'!F4) - ((C19-D19) * 'Product Cost &amp; Prices'!B4)</f>
        <v>965.8</v>
      </c>
      <c r="H19" s="49"/>
      <c r="I19" s="50"/>
      <c r="J19" s="46"/>
      <c r="K19" s="49"/>
      <c r="L19" s="51"/>
      <c r="M19" s="51"/>
      <c r="N19" s="51"/>
      <c r="O19" s="51"/>
      <c r="P19" s="15"/>
      <c r="Q19" s="15"/>
    </row>
    <row r="20">
      <c r="A20" s="52" t="s">
        <v>41</v>
      </c>
      <c r="B20" s="52"/>
      <c r="C20" s="52"/>
      <c r="D20" s="52"/>
      <c r="E20" s="53">
        <f t="shared" ref="E20:G20" si="3">SUM(E3:E19)</f>
        <v>7386.051261</v>
      </c>
      <c r="F20" s="54">
        <f t="shared" si="3"/>
        <v>14530</v>
      </c>
      <c r="G20" s="54">
        <f t="shared" si="3"/>
        <v>7143.948739</v>
      </c>
      <c r="H20" s="52"/>
      <c r="I20" s="55" t="s">
        <v>41</v>
      </c>
      <c r="L20" s="56">
        <f t="shared" ref="L20:M20" si="4">SUM(L3:L15)</f>
        <v>3664.369029</v>
      </c>
      <c r="M20" s="56">
        <f t="shared" si="4"/>
        <v>6675</v>
      </c>
      <c r="N20" s="56">
        <f>SUM(N3:N16)</f>
        <v>6675</v>
      </c>
      <c r="O20" s="54">
        <f>SUM(O3:O15)</f>
        <v>3010.630971</v>
      </c>
      <c r="P20" s="26"/>
      <c r="Q20" s="57">
        <f>sum(Q3:Q17)</f>
        <v>0</v>
      </c>
    </row>
    <row r="21">
      <c r="A21" s="58" t="s">
        <v>42</v>
      </c>
      <c r="B21" s="58"/>
      <c r="C21" s="59"/>
      <c r="D21" s="59"/>
      <c r="E21" s="59"/>
      <c r="F21" s="60">
        <f>sum(F20-E20)</f>
        <v>7143.948739</v>
      </c>
      <c r="G21" s="15"/>
      <c r="H21" s="58"/>
      <c r="I21" s="58" t="s">
        <v>42</v>
      </c>
      <c r="L21" s="59"/>
      <c r="M21" s="59"/>
      <c r="N21" s="59"/>
      <c r="O21" s="61">
        <f>SUM(N20-L20)</f>
        <v>3010.630971</v>
      </c>
      <c r="P21" s="62"/>
      <c r="Q21" s="62"/>
    </row>
    <row r="22">
      <c r="A22" s="63"/>
      <c r="B22" s="63"/>
      <c r="C22" s="63"/>
      <c r="D22" s="63"/>
      <c r="E22" s="63"/>
      <c r="F22" s="63"/>
      <c r="G22" s="63"/>
      <c r="H22" s="63"/>
      <c r="I22" s="63"/>
      <c r="J22" s="64"/>
      <c r="K22" s="64"/>
      <c r="L22" s="64"/>
      <c r="M22" s="64"/>
      <c r="N22" s="64"/>
      <c r="O22" s="64"/>
    </row>
    <row r="23">
      <c r="A23" s="63"/>
      <c r="B23" s="63"/>
      <c r="C23" s="63"/>
      <c r="D23" s="63"/>
      <c r="E23" s="63"/>
      <c r="F23" s="63"/>
      <c r="G23" s="63"/>
      <c r="H23" s="63"/>
      <c r="I23" s="63"/>
      <c r="J23" s="64"/>
      <c r="K23" s="64"/>
      <c r="L23" s="64"/>
      <c r="M23" s="64"/>
      <c r="N23" s="64"/>
      <c r="O23" s="64"/>
    </row>
    <row r="24">
      <c r="C24" s="65" t="str">
        <f>CONCAT("Income for ", TEXT(Today(), "MMMM d, yyyy"))
</f>
        <v>Income for January 11, 2026</v>
      </c>
      <c r="D24" s="66"/>
      <c r="E24" s="66"/>
      <c r="F24" s="66"/>
      <c r="G24" s="66"/>
      <c r="H24" s="66"/>
      <c r="I24" s="66"/>
      <c r="J24" s="67"/>
      <c r="K24" s="68">
        <f>SUM(F20+N20)</f>
        <v>21205</v>
      </c>
      <c r="L24" s="66"/>
      <c r="M24" s="66"/>
      <c r="N24" s="66"/>
      <c r="O24" s="69"/>
    </row>
    <row r="25">
      <c r="C25" s="70" t="str">
        <f>CONCAT("Cost for ", TEXT(Today(), "MMMM d, yyyy"))
</f>
        <v>Cost for January 11, 2026</v>
      </c>
      <c r="D25" s="71"/>
      <c r="E25" s="71"/>
      <c r="F25" s="71"/>
      <c r="G25" s="71"/>
      <c r="H25" s="71"/>
      <c r="I25" s="71"/>
      <c r="J25" s="72"/>
      <c r="K25" s="73">
        <f>SUM(E20+L20) + U12</f>
        <v>11050.42029</v>
      </c>
      <c r="L25" s="71"/>
      <c r="M25" s="71"/>
      <c r="N25" s="71"/>
      <c r="O25" s="74"/>
    </row>
    <row r="26" hidden="1">
      <c r="C26" s="63" t="str">
        <f>CONCAT("Gross Profit for ", TEXT(Today(), "MMMM d, yyyy"))
</f>
        <v>Gross Profit for January 11, 2026</v>
      </c>
      <c r="J26" s="64"/>
      <c r="K26" s="73">
        <f>SUM(F21+O21)</f>
        <v>10154.57971</v>
      </c>
      <c r="L26" s="71"/>
      <c r="M26" s="71"/>
      <c r="N26" s="71"/>
      <c r="O26" s="74"/>
    </row>
    <row r="27">
      <c r="C27" s="75" t="str">
        <f>CONCAT("Net Profit for ", TEXT(Today(), "MMMM d, yyyy"))
</f>
        <v>Net Profit for January 11, 2026</v>
      </c>
      <c r="D27" s="76"/>
      <c r="E27" s="76"/>
      <c r="F27" s="76"/>
      <c r="G27" s="76"/>
      <c r="H27" s="76"/>
      <c r="I27" s="76"/>
      <c r="J27" s="77"/>
      <c r="K27" s="78">
        <f>SUM(K24-K25)</f>
        <v>10154.57971</v>
      </c>
      <c r="L27" s="76"/>
      <c r="M27" s="76"/>
      <c r="N27" s="76"/>
      <c r="O27" s="79"/>
      <c r="P27" s="42" t="s">
        <v>43</v>
      </c>
      <c r="Q27" s="42"/>
    </row>
    <row r="29">
      <c r="O29" s="42" t="s">
        <v>0</v>
      </c>
    </row>
    <row r="39">
      <c r="C39" s="80" t="s">
        <v>44</v>
      </c>
      <c r="D39" s="80" t="s">
        <v>45</v>
      </c>
      <c r="E39" s="80" t="s">
        <v>33</v>
      </c>
      <c r="P39" s="42" t="s">
        <v>46</v>
      </c>
      <c r="Q39" s="42"/>
    </row>
    <row r="40">
      <c r="C40" s="81">
        <v>20.0</v>
      </c>
      <c r="D40" s="82">
        <v>4.0</v>
      </c>
      <c r="E40" s="83">
        <f t="shared" ref="E40:E45" si="5">C40*D40</f>
        <v>80</v>
      </c>
    </row>
    <row r="41">
      <c r="C41" s="83">
        <v>50.0</v>
      </c>
      <c r="D41" s="82">
        <v>17.0</v>
      </c>
      <c r="E41" s="83">
        <f t="shared" si="5"/>
        <v>850</v>
      </c>
    </row>
    <row r="42">
      <c r="C42" s="83">
        <v>100.0</v>
      </c>
      <c r="D42" s="82">
        <v>21.0</v>
      </c>
      <c r="E42" s="83">
        <f t="shared" si="5"/>
        <v>2100</v>
      </c>
    </row>
    <row r="43">
      <c r="C43" s="83">
        <v>500.0</v>
      </c>
      <c r="D43" s="82">
        <v>0.0</v>
      </c>
      <c r="E43" s="83">
        <f t="shared" si="5"/>
        <v>0</v>
      </c>
    </row>
    <row r="44">
      <c r="C44" s="83">
        <v>1000.0</v>
      </c>
      <c r="D44" s="82">
        <v>0.0</v>
      </c>
      <c r="E44" s="83">
        <f t="shared" si="5"/>
        <v>0</v>
      </c>
    </row>
    <row r="45">
      <c r="C45" s="83">
        <v>5000.0</v>
      </c>
      <c r="D45" s="82">
        <v>0.0</v>
      </c>
      <c r="E45" s="83">
        <f t="shared" si="5"/>
        <v>0</v>
      </c>
    </row>
    <row r="46">
      <c r="E46" s="84">
        <f>SUM(E40:E45)</f>
        <v>3030</v>
      </c>
    </row>
  </sheetData>
  <mergeCells count="16">
    <mergeCell ref="A1:A2"/>
    <mergeCell ref="B1:B2"/>
    <mergeCell ref="C1:G1"/>
    <mergeCell ref="I1:O1"/>
    <mergeCell ref="R1:R2"/>
    <mergeCell ref="T1:U1"/>
    <mergeCell ref="I20:K20"/>
    <mergeCell ref="K26:O26"/>
    <mergeCell ref="K27:O27"/>
    <mergeCell ref="I21:K21"/>
    <mergeCell ref="C24:I24"/>
    <mergeCell ref="K24:O24"/>
    <mergeCell ref="C25:I25"/>
    <mergeCell ref="K25:O25"/>
    <mergeCell ref="C26:I26"/>
    <mergeCell ref="C27:I2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41.14"/>
    <col customWidth="1" hidden="1" min="2" max="2" width="17.43"/>
    <col customWidth="1" min="3" max="3" width="10.57"/>
    <col customWidth="1" min="4" max="4" width="13.29"/>
    <col customWidth="1" min="6" max="6" width="11.57"/>
    <col hidden="1" min="7" max="7" width="14.43"/>
    <col customWidth="1" min="8" max="9" width="10.57"/>
    <col customWidth="1" min="10" max="10" width="13.86"/>
    <col customWidth="1" min="11" max="11" width="10.14"/>
    <col customWidth="1" min="12" max="12" width="13.0"/>
    <col customWidth="1" hidden="1" min="13" max="13" width="18.71"/>
    <col customWidth="1" min="14" max="15" width="18.71"/>
    <col customWidth="1" min="20" max="20" width="30.0"/>
    <col customWidth="1" min="21" max="21" width="12.43"/>
  </cols>
  <sheetData>
    <row r="1">
      <c r="A1" s="1" t="s">
        <v>0</v>
      </c>
      <c r="B1" s="1" t="s">
        <v>1</v>
      </c>
      <c r="C1" s="2" t="s">
        <v>2</v>
      </c>
      <c r="H1" s="3"/>
      <c r="I1" s="3" t="s">
        <v>3</v>
      </c>
      <c r="R1" s="4"/>
      <c r="S1" s="4"/>
      <c r="T1" s="5" t="s">
        <v>4</v>
      </c>
      <c r="U1" s="6"/>
    </row>
    <row r="2">
      <c r="C2" s="7" t="s">
        <v>5</v>
      </c>
      <c r="D2" s="8" t="s">
        <v>6</v>
      </c>
      <c r="E2" s="9" t="s">
        <v>7</v>
      </c>
      <c r="F2" s="9" t="s">
        <v>8</v>
      </c>
      <c r="G2" s="9" t="s">
        <v>9</v>
      </c>
      <c r="H2" s="10"/>
      <c r="I2" s="7" t="s">
        <v>10</v>
      </c>
      <c r="J2" s="11" t="s">
        <v>11</v>
      </c>
      <c r="K2" s="11" t="s">
        <v>6</v>
      </c>
      <c r="L2" s="9" t="s">
        <v>7</v>
      </c>
      <c r="M2" s="9" t="s">
        <v>8</v>
      </c>
      <c r="N2" s="12" t="s">
        <v>12</v>
      </c>
      <c r="O2" s="9" t="s">
        <v>9</v>
      </c>
      <c r="P2" s="9" t="s">
        <v>6</v>
      </c>
      <c r="Q2" s="9" t="s">
        <v>7</v>
      </c>
      <c r="S2" s="4"/>
      <c r="T2" s="13" t="s">
        <v>13</v>
      </c>
      <c r="U2" s="14">
        <v>2000.0</v>
      </c>
    </row>
    <row r="3">
      <c r="A3" s="15" t="s">
        <v>14</v>
      </c>
      <c r="B3" s="13">
        <v>80.0</v>
      </c>
      <c r="C3" s="16">
        <v>36.0</v>
      </c>
      <c r="D3" s="13">
        <v>0.0</v>
      </c>
      <c r="E3" s="17">
        <f>((C3-D3) * 'Product Cost &amp; Prices'!B2)</f>
        <v>2718.257143</v>
      </c>
      <c r="F3" s="18">
        <f>((C3-D3) * 'Product Cost &amp; Prices'!F2)</f>
        <v>4680</v>
      </c>
      <c r="G3" s="17">
        <f>((C3-D3) * 'Product Cost &amp; Prices'!F2) - ((C3-D3) * 'Product Cost &amp; Prices'!B2)</f>
        <v>1961.742857</v>
      </c>
      <c r="H3" s="13"/>
      <c r="I3" s="16">
        <v>15.0</v>
      </c>
      <c r="J3" s="19">
        <f t="shared" ref="J3:J8" si="1">I3</f>
        <v>15</v>
      </c>
      <c r="K3" s="19">
        <v>0.0</v>
      </c>
      <c r="L3" s="17">
        <f>(J3-K3) * 'Product Cost &amp; Prices'!B2</f>
        <v>1132.607143</v>
      </c>
      <c r="M3" s="17">
        <f>($J3-$K3) * 'Product Cost &amp; Prices'!E2</f>
        <v>1650</v>
      </c>
      <c r="N3" s="20">
        <f>($J3-$K3) * 'Product Cost &amp; Prices'!E2</f>
        <v>1650</v>
      </c>
      <c r="O3" s="17">
        <f>((J3-K3) * 'Product Cost &amp; Prices'!E2) - ((J3-K3) * 'Product Cost &amp; Prices'!B2)</f>
        <v>517.3928571</v>
      </c>
      <c r="P3" s="13"/>
      <c r="Q3" s="17">
        <f>P3*'Bread Cost Calculator'!E9</f>
        <v>0</v>
      </c>
      <c r="T3" s="21" t="s">
        <v>15</v>
      </c>
      <c r="U3" s="22">
        <v>2000.0</v>
      </c>
    </row>
    <row r="4">
      <c r="A4" s="23" t="s">
        <v>16</v>
      </c>
      <c r="B4" s="23">
        <v>2.0</v>
      </c>
      <c r="C4" s="24">
        <v>0.0</v>
      </c>
      <c r="D4" s="23">
        <v>0.0</v>
      </c>
      <c r="E4" s="25">
        <f>((C4-D4) * 'Product Cost &amp; Prices'!B3)</f>
        <v>0</v>
      </c>
      <c r="F4" s="18">
        <f>((C4-D4) * 'Product Cost &amp; Prices'!F3)</f>
        <v>0</v>
      </c>
      <c r="G4" s="26"/>
      <c r="H4" s="23"/>
      <c r="I4" s="27">
        <v>0.0</v>
      </c>
      <c r="J4" s="28">
        <f t="shared" si="1"/>
        <v>0</v>
      </c>
      <c r="K4" s="28">
        <v>0.0</v>
      </c>
      <c r="L4" s="25">
        <f>(J4-K4) * 'Product Cost &amp; Prices'!B3</f>
        <v>0</v>
      </c>
      <c r="M4" s="25">
        <f>($J4-$K4) * 'Product Cost &amp; Prices'!E3</f>
        <v>0</v>
      </c>
      <c r="N4" s="20">
        <f>($J4-$K4) * 'Product Cost &amp; Prices'!E3</f>
        <v>0</v>
      </c>
      <c r="O4" s="25">
        <f>((J4-K4) * 'Product Cost &amp; Prices'!E3) - ((J4-K4) * 'Product Cost &amp; Prices'!B3)</f>
        <v>0</v>
      </c>
      <c r="P4" s="23"/>
      <c r="Q4" s="25">
        <f>P4*'Bread Cost Calculator'!E9</f>
        <v>0</v>
      </c>
      <c r="T4" s="13" t="s">
        <v>17</v>
      </c>
      <c r="U4" s="14">
        <v>0.0</v>
      </c>
    </row>
    <row r="5">
      <c r="A5" s="15" t="s">
        <v>18</v>
      </c>
      <c r="B5" s="13">
        <v>55.0</v>
      </c>
      <c r="C5" s="16">
        <v>40.0</v>
      </c>
      <c r="D5" s="13">
        <v>0.0</v>
      </c>
      <c r="E5" s="17">
        <f>((C5-D5) * 'Product Cost &amp; Prices'!B5)</f>
        <v>768.7555955</v>
      </c>
      <c r="F5" s="18">
        <f>((C5-D5) * 'Product Cost &amp; Prices'!F5)</f>
        <v>2400</v>
      </c>
      <c r="G5" s="17">
        <f>((C5-D5) * 'Product Cost &amp; Prices'!F5) - ((C5-D5) * 'Product Cost &amp; Prices'!B5)</f>
        <v>1631.244405</v>
      </c>
      <c r="H5" s="13"/>
      <c r="I5" s="16">
        <v>7.0</v>
      </c>
      <c r="J5" s="19">
        <f t="shared" si="1"/>
        <v>7</v>
      </c>
      <c r="K5" s="19">
        <v>0.0</v>
      </c>
      <c r="L5" s="17">
        <f>(J5-K5) * 'Product Cost &amp; Prices'!B5</f>
        <v>134.5322292</v>
      </c>
      <c r="M5" s="17">
        <f>(J5-K5) * 'Product Cost &amp; Prices'!E5</f>
        <v>385</v>
      </c>
      <c r="N5" s="20">
        <f>(J5-K5) * 'Product Cost &amp; Prices'!E5</f>
        <v>385</v>
      </c>
      <c r="O5" s="17">
        <f>((J5-K5) * 'Product Cost &amp; Prices'!E5) - ((J5-K5) * 'Product Cost &amp; Prices'!B5)</f>
        <v>250.4677708</v>
      </c>
      <c r="P5" s="13"/>
      <c r="Q5" s="17">
        <f>P5*'Genaral Bun Cost Calculator'!D32</f>
        <v>0</v>
      </c>
      <c r="T5" s="21" t="s">
        <v>19</v>
      </c>
      <c r="U5" s="22">
        <v>0.0</v>
      </c>
    </row>
    <row r="6">
      <c r="A6" s="26" t="s">
        <v>20</v>
      </c>
      <c r="B6" s="23">
        <v>15.0</v>
      </c>
      <c r="C6" s="24">
        <v>10.0</v>
      </c>
      <c r="D6" s="23">
        <v>0.0</v>
      </c>
      <c r="E6" s="25">
        <f>((C6-D6) * 'Product Cost &amp; Prices'!B6)</f>
        <v>164.4114901</v>
      </c>
      <c r="F6" s="18">
        <f>((C6-D6) * 'Product Cost &amp; Prices'!F6)</f>
        <v>400</v>
      </c>
      <c r="G6" s="25">
        <f>((C6-D6) * 'Product Cost &amp; Prices'!F6) - ((C6-D6) * 'Product Cost &amp; Prices'!B6)</f>
        <v>235.5885099</v>
      </c>
      <c r="H6" s="23"/>
      <c r="I6" s="24">
        <v>5.0</v>
      </c>
      <c r="J6" s="28">
        <f t="shared" si="1"/>
        <v>5</v>
      </c>
      <c r="K6" s="28">
        <v>0.0</v>
      </c>
      <c r="L6" s="25">
        <f>(J6-K6) * 'Product Cost &amp; Prices'!B6</f>
        <v>82.20574506</v>
      </c>
      <c r="M6" s="25">
        <f>(J6-K6) * 'Product Cost &amp; Prices'!E6</f>
        <v>175</v>
      </c>
      <c r="N6" s="20">
        <f>(J6-K6) * 'Product Cost &amp; Prices'!E6</f>
        <v>175</v>
      </c>
      <c r="O6" s="25">
        <f>((J6-K6) * 'Product Cost &amp; Prices'!E6) - ((J6-K6) * 'Product Cost &amp; Prices'!B6)</f>
        <v>92.79425494</v>
      </c>
      <c r="P6" s="23"/>
      <c r="Q6" s="25">
        <f>P6*'Genaral Bun Cost Calculator'!D14</f>
        <v>0</v>
      </c>
      <c r="T6" s="13" t="s">
        <v>21</v>
      </c>
      <c r="U6" s="14">
        <v>1000.0</v>
      </c>
    </row>
    <row r="7">
      <c r="A7" s="15" t="s">
        <v>22</v>
      </c>
      <c r="B7" s="13">
        <v>50.0</v>
      </c>
      <c r="C7" s="16">
        <v>40.0</v>
      </c>
      <c r="D7" s="13">
        <v>8.0</v>
      </c>
      <c r="E7" s="17">
        <f>((C7-D7) * 'Product Cost &amp; Prices'!B7)</f>
        <v>640.5938097</v>
      </c>
      <c r="F7" s="18">
        <f>((C7-D7) * 'Product Cost &amp; Prices'!F7)</f>
        <v>1600</v>
      </c>
      <c r="G7" s="17">
        <f>((C7-D7) * 'Product Cost &amp; Prices'!F7) - ((C7-D7) * 'Product Cost &amp; Prices'!B7)</f>
        <v>959.4061903</v>
      </c>
      <c r="H7" s="13"/>
      <c r="I7" s="16">
        <v>16.0</v>
      </c>
      <c r="J7" s="19">
        <f t="shared" si="1"/>
        <v>16</v>
      </c>
      <c r="K7" s="19">
        <v>0.0</v>
      </c>
      <c r="L7" s="17">
        <f>(J7-K7) * 'Product Cost &amp; Prices'!B7</f>
        <v>320.2969048</v>
      </c>
      <c r="M7" s="17">
        <f>(J7-K7) * 'Product Cost &amp; Prices'!E7</f>
        <v>720</v>
      </c>
      <c r="N7" s="20">
        <f>(J7-K7) * 'Product Cost &amp; Prices'!E7</f>
        <v>720</v>
      </c>
      <c r="O7" s="17">
        <f>((J7-K7) * 'Product Cost &amp; Prices'!E7) - ((J7-K7) * 'Product Cost &amp; Prices'!B7)</f>
        <v>399.7030952</v>
      </c>
      <c r="P7" s="13"/>
      <c r="Q7" s="17">
        <f>P7*'Genaral Bun Cost Calculator'!D21</f>
        <v>0</v>
      </c>
      <c r="T7" s="21" t="s">
        <v>23</v>
      </c>
      <c r="U7" s="22">
        <v>1000.0</v>
      </c>
    </row>
    <row r="8">
      <c r="A8" s="23" t="s">
        <v>24</v>
      </c>
      <c r="B8" s="23">
        <v>60.0</v>
      </c>
      <c r="C8" s="29">
        <v>60.0</v>
      </c>
      <c r="D8" s="30">
        <v>10.0</v>
      </c>
      <c r="E8" s="25">
        <f>((C8-D8) * 'Product Cost &amp; Prices'!B14)</f>
        <v>620.6460674</v>
      </c>
      <c r="F8" s="18">
        <f>((C8-D8) * 'Product Cost &amp; Prices'!F14)</f>
        <v>1750</v>
      </c>
      <c r="G8" s="25">
        <f>((C8-D8) * 'Product Cost &amp; Prices'!F14) - ((C8-D8) * 'Product Cost &amp; Prices'!B14)</f>
        <v>1129.353933</v>
      </c>
      <c r="H8" s="30"/>
      <c r="I8" s="29">
        <v>29.0</v>
      </c>
      <c r="J8" s="28">
        <f t="shared" si="1"/>
        <v>29</v>
      </c>
      <c r="K8" s="31">
        <v>0.0</v>
      </c>
      <c r="L8" s="25">
        <f>(J8-K8) * 'Product Cost &amp; Prices'!B14</f>
        <v>359.9747191</v>
      </c>
      <c r="M8" s="25">
        <f>(J8-K8) * 'Product Cost &amp; Prices'!E14</f>
        <v>870</v>
      </c>
      <c r="N8" s="20">
        <f>(J8-K8) * 'Product Cost &amp; Prices'!E14</f>
        <v>870</v>
      </c>
      <c r="O8" s="25">
        <f>((J8-K8) * 'Product Cost &amp; Prices'!E14) - ((J8-K8) * 'Product Cost &amp; Prices'!B14)</f>
        <v>510.0252809</v>
      </c>
      <c r="P8" s="23"/>
      <c r="Q8" s="25">
        <f>P8*'Roast Bread Cost Calculator'!E9</f>
        <v>0</v>
      </c>
      <c r="T8" s="13" t="s">
        <v>25</v>
      </c>
      <c r="U8" s="14">
        <v>0.0</v>
      </c>
    </row>
    <row r="9">
      <c r="A9" s="13" t="s">
        <v>26</v>
      </c>
      <c r="B9" s="13">
        <v>10.0</v>
      </c>
      <c r="C9" s="16">
        <v>10.0</v>
      </c>
      <c r="D9" s="13">
        <v>3.0</v>
      </c>
      <c r="E9" s="17">
        <f>((C9-D9) * 'Product Cost &amp; Prices'!B8)</f>
        <v>320.318073</v>
      </c>
      <c r="F9" s="18">
        <f>((C9-D9) * 'Product Cost &amp; Prices'!F8)</f>
        <v>700</v>
      </c>
      <c r="G9" s="17">
        <f>((C9-D9) * 'Product Cost &amp; Prices'!F8) - ((C9-D9) * 'Product Cost &amp; Prices'!B8)</f>
        <v>379.681927</v>
      </c>
      <c r="H9" s="13"/>
      <c r="I9" s="16">
        <v>0.0</v>
      </c>
      <c r="J9" s="19">
        <v>0.0</v>
      </c>
      <c r="K9" s="32">
        <v>0.0</v>
      </c>
      <c r="L9" s="17">
        <f>(J9-K9) * 'Product Cost &amp; Prices'!B8</f>
        <v>0</v>
      </c>
      <c r="M9" s="17">
        <f>(J9-K9) * 'Product Cost &amp; Prices'!E8</f>
        <v>0</v>
      </c>
      <c r="N9" s="20">
        <f>(J9-K9) * 'Product Cost &amp; Prices'!E8</f>
        <v>0</v>
      </c>
      <c r="O9" s="17">
        <f>((J9-K9) * 'Product Cost &amp; Prices'!E8) - ((J9-K9) * 'Product Cost &amp; Prices'!B8)</f>
        <v>0</v>
      </c>
      <c r="P9" s="15"/>
      <c r="Q9" s="15"/>
      <c r="T9" s="21" t="s">
        <v>27</v>
      </c>
      <c r="U9" s="21">
        <v>0.0</v>
      </c>
    </row>
    <row r="10">
      <c r="A10" s="23" t="s">
        <v>28</v>
      </c>
      <c r="B10" s="23"/>
      <c r="C10" s="24">
        <v>0.0</v>
      </c>
      <c r="D10" s="23">
        <v>0.0</v>
      </c>
      <c r="E10" s="25">
        <f>((C10-D10) * 'Product Cost &amp; Prices'!B9)</f>
        <v>0</v>
      </c>
      <c r="F10" s="18">
        <f>((C10-D10) * 'Product Cost &amp; Prices'!F9)</f>
        <v>0</v>
      </c>
      <c r="G10" s="25">
        <f>((C10-D10) * 'Product Cost &amp; Prices'!F9) - ((C10-D10) * 'Product Cost &amp; Prices'!B9)</f>
        <v>0</v>
      </c>
      <c r="H10" s="23"/>
      <c r="I10" s="24">
        <v>0.0</v>
      </c>
      <c r="J10" s="28">
        <f t="shared" ref="J10:J15" si="2">I10</f>
        <v>0</v>
      </c>
      <c r="K10" s="31">
        <v>0.0</v>
      </c>
      <c r="L10" s="25">
        <f>(J10-K10) * 'Product Cost &amp; Prices'!B9</f>
        <v>0</v>
      </c>
      <c r="M10" s="25">
        <f>(J10-K10) * 'Product Cost &amp; Prices'!E9</f>
        <v>0</v>
      </c>
      <c r="N10" s="12">
        <v>0.0</v>
      </c>
      <c r="O10" s="25">
        <f>((J10-K10) * 'Product Cost &amp; Prices'!E9) - ((J10-K10) * 'Product Cost &amp; Prices'!B9)</f>
        <v>0</v>
      </c>
      <c r="P10" s="26"/>
      <c r="Q10" s="26"/>
      <c r="T10" s="13" t="s">
        <v>29</v>
      </c>
      <c r="U10" s="13"/>
    </row>
    <row r="11" ht="15.75" customHeight="1">
      <c r="A11" s="13" t="s">
        <v>30</v>
      </c>
      <c r="B11" s="13"/>
      <c r="C11" s="33">
        <v>12.0</v>
      </c>
      <c r="D11" s="34">
        <v>12.0</v>
      </c>
      <c r="E11" s="17">
        <f>((C11-D11) * 'Product Cost &amp; Prices'!B10)</f>
        <v>0</v>
      </c>
      <c r="F11" s="18">
        <f>((C11-D11) * 'Product Cost &amp; Prices'!F10)</f>
        <v>0</v>
      </c>
      <c r="G11" s="17">
        <f>((C11-D11) * 'Product Cost &amp; Prices'!F10) - ((C11-D11) * 'Product Cost &amp; Prices'!B10)</f>
        <v>0</v>
      </c>
      <c r="H11" s="34"/>
      <c r="I11" s="33">
        <v>5.0</v>
      </c>
      <c r="J11" s="19">
        <f t="shared" si="2"/>
        <v>5</v>
      </c>
      <c r="K11" s="32">
        <v>0.0</v>
      </c>
      <c r="L11" s="17">
        <f>(J11-K11) * 'Product Cost &amp; Prices'!B10</f>
        <v>158.5108696</v>
      </c>
      <c r="M11" s="17">
        <f>(J11-K11) * 'Product Cost &amp; Prices'!E10</f>
        <v>225</v>
      </c>
      <c r="N11" s="20">
        <f>(J11-K11) * 'Product Cost &amp; Prices'!E10</f>
        <v>225</v>
      </c>
      <c r="O11" s="17">
        <f>((J11-K11) * 'Product Cost &amp; Prices'!E10) - ((J11-K11) * 'Product Cost &amp; Prices'!B10)</f>
        <v>66.48913043</v>
      </c>
      <c r="P11" s="15"/>
      <c r="Q11" s="15"/>
      <c r="T11" s="35" t="s">
        <v>31</v>
      </c>
      <c r="U11" s="36"/>
    </row>
    <row r="12" ht="15.75" customHeight="1">
      <c r="A12" s="23" t="s">
        <v>32</v>
      </c>
      <c r="B12" s="23"/>
      <c r="C12" s="29">
        <v>10.0</v>
      </c>
      <c r="D12" s="30">
        <v>6.0</v>
      </c>
      <c r="E12" s="25">
        <f>((C12-D12) * 'Product Cost &amp; Prices'!B11)</f>
        <v>144.7360507</v>
      </c>
      <c r="F12" s="18">
        <f>((C12-D12) * 'Product Cost &amp; Prices'!F11)</f>
        <v>240</v>
      </c>
      <c r="G12" s="25">
        <f>((C12-D12) * 'Product Cost &amp; Prices'!F11) - ((C12-D12) * 'Product Cost &amp; Prices'!B11)</f>
        <v>95.26394928</v>
      </c>
      <c r="H12" s="30"/>
      <c r="I12" s="29">
        <v>0.0</v>
      </c>
      <c r="J12" s="28">
        <f t="shared" si="2"/>
        <v>0</v>
      </c>
      <c r="K12" s="31">
        <v>0.0</v>
      </c>
      <c r="L12" s="25">
        <f>(J12-K12) * 'Product Cost &amp; Prices'!B11</f>
        <v>0</v>
      </c>
      <c r="M12" s="25">
        <f>(J12-K12) * 'Product Cost &amp; Prices'!E11</f>
        <v>0</v>
      </c>
      <c r="N12" s="20">
        <f>(J12-K12) * 'Product Cost &amp; Prices'!E11</f>
        <v>0</v>
      </c>
      <c r="O12" s="25">
        <f>((J12-K12) * 'Product Cost &amp; Prices'!E11) - ((J12-K12) * 'Product Cost &amp; Prices'!B11)</f>
        <v>0</v>
      </c>
      <c r="P12" s="26"/>
      <c r="Q12" s="26"/>
      <c r="T12" s="35" t="s">
        <v>33</v>
      </c>
      <c r="U12" s="54">
        <f>SUM(U2:U11)</f>
        <v>6000</v>
      </c>
    </row>
    <row r="13">
      <c r="A13" s="38" t="s">
        <v>34</v>
      </c>
      <c r="B13" s="34">
        <v>20.0</v>
      </c>
      <c r="C13" s="33">
        <v>20.0</v>
      </c>
      <c r="D13" s="34">
        <v>0.0</v>
      </c>
      <c r="E13" s="17">
        <f>((C13-D13) * 'Product Cost &amp; Prices'!B12)</f>
        <v>475.72</v>
      </c>
      <c r="F13" s="18">
        <f>((C13-D13) * 'Product Cost &amp; Prices'!F12)</f>
        <v>1000</v>
      </c>
      <c r="G13" s="17">
        <f>((C13-D13) * 'Product Cost &amp; Prices'!F12) - ((C13-D13) * 'Product Cost &amp; Prices'!B12)</f>
        <v>524.28</v>
      </c>
      <c r="H13" s="34"/>
      <c r="I13" s="33">
        <v>6.0</v>
      </c>
      <c r="J13" s="19">
        <f t="shared" si="2"/>
        <v>6</v>
      </c>
      <c r="K13" s="32">
        <v>0.0</v>
      </c>
      <c r="L13" s="17">
        <f>(J13-K13) * 'Product Cost &amp; Prices'!B12</f>
        <v>142.716</v>
      </c>
      <c r="M13" s="17">
        <f>(J13-K13) * 'Product Cost &amp; Prices'!E12</f>
        <v>270</v>
      </c>
      <c r="N13" s="20">
        <f>(J13-K13) * 'Product Cost &amp; Prices'!E12</f>
        <v>270</v>
      </c>
      <c r="O13" s="17">
        <f>((J13-K13) * 'Product Cost &amp; Prices'!E12) - ((J13-K13) * 'Product Cost &amp; Prices'!B12)</f>
        <v>127.284</v>
      </c>
      <c r="P13" s="13"/>
      <c r="Q13" s="15"/>
    </row>
    <row r="14">
      <c r="A14" s="39" t="s">
        <v>35</v>
      </c>
      <c r="B14" s="39"/>
      <c r="C14" s="29">
        <v>0.0</v>
      </c>
      <c r="D14" s="30">
        <v>0.0</v>
      </c>
      <c r="E14" s="25">
        <f>((C14-D14) * 'Product Cost &amp; Prices'!B15)</f>
        <v>0</v>
      </c>
      <c r="F14" s="18">
        <f>((C14-D14) * 'Product Cost &amp; Prices'!F15)</f>
        <v>0</v>
      </c>
      <c r="G14" s="26"/>
      <c r="H14" s="30"/>
      <c r="I14" s="29">
        <v>0.0</v>
      </c>
      <c r="J14" s="28">
        <f t="shared" si="2"/>
        <v>0</v>
      </c>
      <c r="K14" s="31">
        <v>0.0</v>
      </c>
      <c r="L14" s="25">
        <f>(J14-K14) * 'Product Cost &amp; Prices'!B15</f>
        <v>0</v>
      </c>
      <c r="M14" s="25">
        <f>(J14-K14) * 'Product Cost &amp; Prices'!E13</f>
        <v>0</v>
      </c>
      <c r="N14" s="20">
        <f>(J14-K14) * 'Product Cost &amp; Prices'!E15</f>
        <v>0</v>
      </c>
      <c r="O14" s="25">
        <f>((J14-K14) * 'Product Cost &amp; Prices'!E15) - ((J14-K14) * 'Product Cost &amp; Prices'!B15)</f>
        <v>0</v>
      </c>
      <c r="P14" s="23"/>
      <c r="Q14" s="26"/>
    </row>
    <row r="15">
      <c r="A15" s="38" t="s">
        <v>36</v>
      </c>
      <c r="B15" s="38"/>
      <c r="C15" s="33">
        <v>0.0</v>
      </c>
      <c r="D15" s="34">
        <v>0.0</v>
      </c>
      <c r="E15" s="17">
        <f>((C15-D15) * 'Product Cost &amp; Prices'!B13)</f>
        <v>0</v>
      </c>
      <c r="F15" s="18">
        <f>((C15-D15) * 'Product Cost &amp; Prices'!F13)</f>
        <v>0</v>
      </c>
      <c r="G15" s="17">
        <f>((C15-D15) * 'Product Cost &amp; Prices'!F13) - ((C15-D15) * 'Product Cost &amp; Prices'!B13)</f>
        <v>0</v>
      </c>
      <c r="H15" s="34"/>
      <c r="I15" s="33">
        <v>0.0</v>
      </c>
      <c r="J15" s="19">
        <f t="shared" si="2"/>
        <v>0</v>
      </c>
      <c r="K15" s="32">
        <v>0.0</v>
      </c>
      <c r="L15" s="17">
        <f>(J15-K15) * 'Product Cost &amp; Prices'!B13</f>
        <v>0</v>
      </c>
      <c r="M15" s="17">
        <f>(J15-K15) * 'Product Cost &amp; Prices'!E13</f>
        <v>0</v>
      </c>
      <c r="N15" s="20">
        <f>(J15-K15) * 'Product Cost &amp; Prices'!E13</f>
        <v>0</v>
      </c>
      <c r="O15" s="17">
        <f>((J15-K15) * 'Product Cost &amp; Prices'!E13) - ((J15-K15) * 'Product Cost &amp; Prices'!B13)</f>
        <v>0</v>
      </c>
      <c r="P15" s="15"/>
      <c r="Q15" s="15"/>
    </row>
    <row r="16">
      <c r="A16" s="23" t="s">
        <v>37</v>
      </c>
      <c r="B16" s="23"/>
      <c r="C16" s="24">
        <v>0.0</v>
      </c>
      <c r="D16" s="23"/>
      <c r="F16" s="40"/>
      <c r="G16" s="26"/>
      <c r="H16" s="30"/>
      <c r="I16" s="29">
        <v>0.0</v>
      </c>
      <c r="J16" s="23"/>
      <c r="K16" s="30"/>
      <c r="N16" s="41">
        <v>0.0</v>
      </c>
      <c r="P16" s="26"/>
      <c r="Q16" s="26"/>
      <c r="T16" s="42" t="s">
        <v>0</v>
      </c>
    </row>
    <row r="17">
      <c r="A17" s="13" t="s">
        <v>38</v>
      </c>
      <c r="B17" s="13"/>
      <c r="C17" s="16">
        <v>0.0</v>
      </c>
      <c r="D17" s="13"/>
      <c r="F17" s="40"/>
      <c r="G17" s="15"/>
      <c r="H17" s="34"/>
      <c r="I17" s="33">
        <v>0.0</v>
      </c>
      <c r="J17" s="13"/>
      <c r="K17" s="34"/>
      <c r="P17" s="15"/>
      <c r="Q17" s="15"/>
    </row>
    <row r="18">
      <c r="A18" s="23" t="s">
        <v>39</v>
      </c>
      <c r="B18" s="23"/>
      <c r="C18" s="24">
        <v>0.0</v>
      </c>
      <c r="D18" s="23">
        <v>0.0</v>
      </c>
      <c r="E18" s="25">
        <f>((C18-D18) * 'Product Cost &amp; Prices'!B16)</f>
        <v>0</v>
      </c>
      <c r="F18" s="18">
        <f>((C18-D18) * 'Product Cost &amp; Prices'!F16)</f>
        <v>0</v>
      </c>
      <c r="G18" s="26"/>
      <c r="H18" s="43"/>
      <c r="I18" s="44"/>
      <c r="J18" s="11"/>
      <c r="K18" s="43"/>
      <c r="L18" s="45"/>
      <c r="M18" s="45"/>
      <c r="N18" s="45"/>
      <c r="O18" s="45"/>
      <c r="P18" s="26"/>
      <c r="Q18" s="26"/>
    </row>
    <row r="19" ht="15.75" customHeight="1">
      <c r="A19" s="46" t="s">
        <v>40</v>
      </c>
      <c r="B19" s="46"/>
      <c r="C19" s="47">
        <v>26.0</v>
      </c>
      <c r="D19" s="46"/>
      <c r="E19" s="48">
        <f>((C19-D19) * 'Product Cost &amp; Prices'!B4)</f>
        <v>1963.185714</v>
      </c>
      <c r="F19" s="18">
        <f>((C19-D19) * 'Product Cost &amp; Prices'!F4)</f>
        <v>2860</v>
      </c>
      <c r="G19" s="48">
        <f>((C19-D19) * 'Product Cost &amp; Prices'!F4) - ((C19-D19) * 'Product Cost &amp; Prices'!B4)</f>
        <v>896.8142857</v>
      </c>
      <c r="H19" s="49"/>
      <c r="I19" s="50"/>
      <c r="J19" s="46"/>
      <c r="K19" s="49"/>
      <c r="L19" s="51"/>
      <c r="M19" s="51"/>
      <c r="N19" s="51"/>
      <c r="O19" s="51"/>
      <c r="P19" s="15"/>
      <c r="Q19" s="15"/>
    </row>
    <row r="20">
      <c r="A20" s="52" t="s">
        <v>41</v>
      </c>
      <c r="B20" s="52"/>
      <c r="C20" s="52"/>
      <c r="D20" s="52"/>
      <c r="E20" s="53">
        <f>SUM(E3:E19)</f>
        <v>7816.623944</v>
      </c>
      <c r="F20" s="54">
        <f>SUM(F3:F19)+280</f>
        <v>15910</v>
      </c>
      <c r="G20" s="54">
        <f>SUM(G3:G19)</f>
        <v>7813.376056</v>
      </c>
      <c r="H20" s="52"/>
      <c r="I20" s="55" t="s">
        <v>41</v>
      </c>
      <c r="L20" s="56">
        <f t="shared" ref="L20:M20" si="3">SUM(L3:L15)</f>
        <v>2330.843611</v>
      </c>
      <c r="M20" s="56">
        <f t="shared" si="3"/>
        <v>4295</v>
      </c>
      <c r="N20" s="56">
        <f>SUM(N3:N16)</f>
        <v>4295</v>
      </c>
      <c r="O20" s="54">
        <f>SUM(O3:O15)</f>
        <v>1964.156389</v>
      </c>
      <c r="P20" s="26"/>
      <c r="Q20" s="57">
        <f>sum(Q3:Q17)</f>
        <v>0</v>
      </c>
    </row>
    <row r="21">
      <c r="A21" s="58" t="s">
        <v>42</v>
      </c>
      <c r="B21" s="58"/>
      <c r="C21" s="59"/>
      <c r="D21" s="59"/>
      <c r="E21" s="59"/>
      <c r="F21" s="60">
        <f>sum(F20-E20)</f>
        <v>8093.376056</v>
      </c>
      <c r="G21" s="15"/>
      <c r="H21" s="58"/>
      <c r="I21" s="58" t="s">
        <v>42</v>
      </c>
      <c r="L21" s="59"/>
      <c r="M21" s="59"/>
      <c r="N21" s="59"/>
      <c r="O21" s="61">
        <f>SUM(N20-L20)</f>
        <v>1964.156389</v>
      </c>
      <c r="P21" s="62"/>
      <c r="Q21" s="62"/>
    </row>
    <row r="22">
      <c r="A22" s="63"/>
      <c r="B22" s="63"/>
      <c r="C22" s="63"/>
      <c r="D22" s="63"/>
      <c r="E22" s="63"/>
      <c r="F22" s="63"/>
      <c r="G22" s="63"/>
      <c r="H22" s="63"/>
      <c r="I22" s="63"/>
      <c r="J22" s="64"/>
      <c r="K22" s="64"/>
      <c r="L22" s="64"/>
      <c r="M22" s="64"/>
      <c r="N22" s="64"/>
      <c r="O22" s="64"/>
    </row>
    <row r="23">
      <c r="A23" s="63"/>
      <c r="B23" s="63"/>
      <c r="C23" s="63"/>
      <c r="D23" s="63"/>
      <c r="E23" s="63"/>
      <c r="F23" s="63"/>
      <c r="G23" s="63"/>
      <c r="H23" s="63"/>
      <c r="I23" s="63"/>
      <c r="J23" s="64"/>
      <c r="K23" s="64"/>
      <c r="L23" s="64"/>
      <c r="M23" s="64"/>
      <c r="N23" s="64"/>
      <c r="O23" s="64"/>
    </row>
    <row r="24">
      <c r="C24" s="65" t="str">
        <f>CONCAT("Income for ", TEXT(Today(), "MMMM d, yyyy"))
</f>
        <v>Income for January 11, 2026</v>
      </c>
      <c r="D24" s="66"/>
      <c r="E24" s="66"/>
      <c r="F24" s="66"/>
      <c r="G24" s="66"/>
      <c r="H24" s="66"/>
      <c r="I24" s="66"/>
      <c r="J24" s="67"/>
      <c r="K24" s="68">
        <f>SUM(F20+N20)</f>
        <v>20205</v>
      </c>
      <c r="L24" s="66"/>
      <c r="M24" s="66"/>
      <c r="N24" s="66"/>
      <c r="O24" s="69"/>
    </row>
    <row r="25">
      <c r="C25" s="70" t="str">
        <f>CONCAT("Cost for ", TEXT(Today(), "MMMM d, yyyy"))
</f>
        <v>Cost for January 11, 2026</v>
      </c>
      <c r="D25" s="71"/>
      <c r="E25" s="71"/>
      <c r="F25" s="71"/>
      <c r="G25" s="71"/>
      <c r="H25" s="71"/>
      <c r="I25" s="71"/>
      <c r="J25" s="72"/>
      <c r="K25" s="73">
        <f>SUM(E20+L20) + U12</f>
        <v>16147.46755</v>
      </c>
      <c r="L25" s="71"/>
      <c r="M25" s="71"/>
      <c r="N25" s="71"/>
      <c r="O25" s="74"/>
    </row>
    <row r="26" hidden="1">
      <c r="C26" s="63" t="str">
        <f>CONCAT("Gross Profit for ", TEXT(Today(), "MMMM d, yyyy"))
</f>
        <v>Gross Profit for January 11, 2026</v>
      </c>
      <c r="J26" s="64"/>
      <c r="K26" s="73">
        <f>SUM(F21+O21)</f>
        <v>10057.53245</v>
      </c>
      <c r="L26" s="71"/>
      <c r="M26" s="71"/>
      <c r="N26" s="71"/>
      <c r="O26" s="74"/>
    </row>
    <row r="27">
      <c r="C27" s="75" t="str">
        <f>CONCAT("Net Profit for ", TEXT(Today(), "MMMM d, yyyy"))
</f>
        <v>Net Profit for January 11, 2026</v>
      </c>
      <c r="D27" s="76"/>
      <c r="E27" s="76"/>
      <c r="F27" s="76"/>
      <c r="G27" s="76"/>
      <c r="H27" s="76"/>
      <c r="I27" s="76"/>
      <c r="J27" s="77"/>
      <c r="K27" s="78">
        <f>SUM(K24-K25)</f>
        <v>4057.532446</v>
      </c>
      <c r="L27" s="76"/>
      <c r="M27" s="76"/>
      <c r="N27" s="76"/>
      <c r="O27" s="79"/>
      <c r="P27" s="42" t="s">
        <v>43</v>
      </c>
      <c r="Q27" s="42"/>
    </row>
    <row r="29">
      <c r="O29" s="42" t="s">
        <v>0</v>
      </c>
    </row>
    <row r="39">
      <c r="C39" s="80" t="s">
        <v>44</v>
      </c>
      <c r="D39" s="80" t="s">
        <v>45</v>
      </c>
      <c r="E39" s="80" t="s">
        <v>33</v>
      </c>
      <c r="P39" s="42" t="s">
        <v>46</v>
      </c>
      <c r="Q39" s="42"/>
    </row>
    <row r="40">
      <c r="C40" s="81">
        <v>20.0</v>
      </c>
      <c r="D40" s="82"/>
      <c r="E40" s="83">
        <f t="shared" ref="E40:E45" si="4">C40*D40</f>
        <v>0</v>
      </c>
    </row>
    <row r="41">
      <c r="C41" s="83">
        <v>50.0</v>
      </c>
      <c r="D41" s="82">
        <v>6.0</v>
      </c>
      <c r="E41" s="83">
        <f t="shared" si="4"/>
        <v>300</v>
      </c>
    </row>
    <row r="42">
      <c r="C42" s="83">
        <v>100.0</v>
      </c>
      <c r="D42" s="82">
        <v>75.0</v>
      </c>
      <c r="E42" s="83">
        <f t="shared" si="4"/>
        <v>7500</v>
      </c>
    </row>
    <row r="43">
      <c r="C43" s="83">
        <v>500.0</v>
      </c>
      <c r="D43" s="82">
        <v>17.0</v>
      </c>
      <c r="E43" s="83">
        <f t="shared" si="4"/>
        <v>8500</v>
      </c>
    </row>
    <row r="44">
      <c r="C44" s="83">
        <v>1000.0</v>
      </c>
      <c r="D44" s="82">
        <v>10.0</v>
      </c>
      <c r="E44" s="83">
        <f t="shared" si="4"/>
        <v>10000</v>
      </c>
    </row>
    <row r="45">
      <c r="C45" s="83">
        <v>5000.0</v>
      </c>
      <c r="D45" s="82">
        <v>0.0</v>
      </c>
      <c r="E45" s="83">
        <f t="shared" si="4"/>
        <v>0</v>
      </c>
    </row>
    <row r="46">
      <c r="E46" s="84">
        <f>SUM(E40:E45)</f>
        <v>26300</v>
      </c>
    </row>
  </sheetData>
  <mergeCells count="16">
    <mergeCell ref="A1:A2"/>
    <mergeCell ref="B1:B2"/>
    <mergeCell ref="C1:G1"/>
    <mergeCell ref="I1:O1"/>
    <mergeCell ref="R1:R2"/>
    <mergeCell ref="T1:U1"/>
    <mergeCell ref="I20:K20"/>
    <mergeCell ref="K26:O26"/>
    <mergeCell ref="K27:O27"/>
    <mergeCell ref="I21:K21"/>
    <mergeCell ref="C24:I24"/>
    <mergeCell ref="K24:O24"/>
    <mergeCell ref="C25:I25"/>
    <mergeCell ref="K25:O25"/>
    <mergeCell ref="C26:I26"/>
    <mergeCell ref="C27:I2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43"/>
    <col customWidth="1" min="3" max="3" width="32.86"/>
  </cols>
  <sheetData>
    <row r="1">
      <c r="A1" s="85" t="s">
        <v>47</v>
      </c>
      <c r="B1" s="85" t="s">
        <v>48</v>
      </c>
      <c r="C1" s="86" t="s">
        <v>49</v>
      </c>
      <c r="D1" s="87" t="s">
        <v>50</v>
      </c>
    </row>
    <row r="2">
      <c r="A2" s="88" t="s">
        <v>51</v>
      </c>
      <c r="B2" s="88" t="s">
        <v>52</v>
      </c>
      <c r="C2" s="89">
        <f>8800/50</f>
        <v>176</v>
      </c>
      <c r="D2" s="90"/>
    </row>
    <row r="3">
      <c r="A3" s="88" t="s">
        <v>53</v>
      </c>
      <c r="B3" s="88" t="s">
        <v>52</v>
      </c>
      <c r="C3" s="89">
        <v>1900.0</v>
      </c>
      <c r="D3" s="90"/>
    </row>
    <row r="4">
      <c r="A4" s="88" t="s">
        <v>54</v>
      </c>
      <c r="B4" s="88" t="s">
        <v>52</v>
      </c>
      <c r="C4" s="91">
        <v>208.0</v>
      </c>
      <c r="D4" s="90"/>
    </row>
    <row r="5">
      <c r="A5" s="88" t="s">
        <v>55</v>
      </c>
      <c r="B5" s="88" t="s">
        <v>52</v>
      </c>
      <c r="C5" s="91">
        <v>130.0</v>
      </c>
      <c r="D5" s="90"/>
    </row>
    <row r="6">
      <c r="A6" s="88" t="s">
        <v>56</v>
      </c>
      <c r="B6" s="88" t="s">
        <v>52</v>
      </c>
      <c r="C6" s="89">
        <v>501.0</v>
      </c>
      <c r="D6" s="90"/>
    </row>
    <row r="7">
      <c r="A7" s="92" t="s">
        <v>57</v>
      </c>
      <c r="B7" s="92" t="s">
        <v>58</v>
      </c>
      <c r="C7" s="91">
        <f>900</f>
        <v>900</v>
      </c>
      <c r="D7" s="93"/>
    </row>
    <row r="8">
      <c r="A8" s="88" t="s">
        <v>59</v>
      </c>
      <c r="B8" s="88" t="s">
        <v>52</v>
      </c>
      <c r="C8" s="89">
        <v>420.0</v>
      </c>
      <c r="D8" s="90"/>
    </row>
    <row r="9">
      <c r="A9" s="92" t="s">
        <v>60</v>
      </c>
      <c r="B9" s="88" t="s">
        <v>52</v>
      </c>
      <c r="C9" s="89">
        <f>8400/15</f>
        <v>560</v>
      </c>
      <c r="D9" s="90"/>
      <c r="E9" s="42"/>
    </row>
    <row r="10">
      <c r="A10" s="88" t="s">
        <v>61</v>
      </c>
      <c r="B10" s="88" t="s">
        <v>52</v>
      </c>
      <c r="C10" s="91">
        <v>100.0</v>
      </c>
      <c r="D10" s="93"/>
    </row>
    <row r="11">
      <c r="A11" s="88" t="s">
        <v>62</v>
      </c>
      <c r="B11" s="88" t="s">
        <v>52</v>
      </c>
      <c r="C11" s="91">
        <v>700.0</v>
      </c>
      <c r="D11" s="93"/>
    </row>
    <row r="12">
      <c r="A12" s="88" t="s">
        <v>63</v>
      </c>
      <c r="B12" s="88" t="s">
        <v>52</v>
      </c>
      <c r="C12" s="91">
        <v>2650.0</v>
      </c>
      <c r="D12" s="90"/>
    </row>
    <row r="13">
      <c r="A13" s="92" t="s">
        <v>64</v>
      </c>
      <c r="B13" s="92" t="s">
        <v>52</v>
      </c>
      <c r="C13" s="91">
        <v>0.0</v>
      </c>
      <c r="D13" s="93"/>
    </row>
    <row r="14">
      <c r="A14" s="92" t="s">
        <v>65</v>
      </c>
      <c r="B14" s="92" t="s">
        <v>66</v>
      </c>
      <c r="C14" s="91">
        <v>31.0</v>
      </c>
      <c r="D14" s="93"/>
    </row>
    <row r="15">
      <c r="A15" s="92" t="s">
        <v>67</v>
      </c>
      <c r="B15" s="92" t="s">
        <v>66</v>
      </c>
      <c r="C15" s="91">
        <v>0.0</v>
      </c>
      <c r="D15" s="93"/>
    </row>
    <row r="16">
      <c r="A16" s="92" t="s">
        <v>68</v>
      </c>
      <c r="B16" s="92" t="s">
        <v>58</v>
      </c>
      <c r="C16" s="91">
        <v>625.0</v>
      </c>
      <c r="D16" s="93"/>
    </row>
    <row r="17">
      <c r="A17" s="92" t="s">
        <v>69</v>
      </c>
      <c r="B17" s="92" t="s">
        <v>52</v>
      </c>
      <c r="C17" s="91">
        <v>1900.0</v>
      </c>
      <c r="D17" s="93"/>
    </row>
    <row r="18">
      <c r="A18" s="92" t="s">
        <v>70</v>
      </c>
      <c r="B18" s="88" t="s">
        <v>52</v>
      </c>
      <c r="C18" s="91">
        <v>1200.0</v>
      </c>
      <c r="D18" s="93"/>
    </row>
    <row r="19">
      <c r="A19" s="92" t="s">
        <v>71</v>
      </c>
      <c r="B19" s="88" t="s">
        <v>52</v>
      </c>
      <c r="C19" s="91">
        <v>450.0</v>
      </c>
      <c r="D19" s="93"/>
    </row>
    <row r="20">
      <c r="A20" s="92" t="s">
        <v>72</v>
      </c>
      <c r="B20" s="92" t="s">
        <v>52</v>
      </c>
      <c r="C20" s="91">
        <v>545.0</v>
      </c>
      <c r="D20" s="93"/>
    </row>
    <row r="21">
      <c r="A21" s="92" t="s">
        <v>73</v>
      </c>
      <c r="B21" s="92" t="s">
        <v>58</v>
      </c>
      <c r="C21" s="91">
        <v>2840.0</v>
      </c>
      <c r="D21" s="93"/>
    </row>
    <row r="22">
      <c r="A22" s="92" t="s">
        <v>74</v>
      </c>
      <c r="B22" s="92" t="s">
        <v>58</v>
      </c>
      <c r="C22" s="91">
        <v>5714.0</v>
      </c>
      <c r="D22" s="93"/>
    </row>
    <row r="23">
      <c r="A23" s="92" t="s">
        <v>75</v>
      </c>
      <c r="B23" s="92" t="s">
        <v>52</v>
      </c>
      <c r="C23" s="91">
        <v>900.0</v>
      </c>
      <c r="D23" s="93"/>
    </row>
    <row r="24">
      <c r="A24" s="92" t="s">
        <v>76</v>
      </c>
      <c r="B24" s="92" t="s">
        <v>66</v>
      </c>
      <c r="C24" s="91">
        <f>1900/420</f>
        <v>4.523809524</v>
      </c>
      <c r="D24" s="93"/>
    </row>
    <row r="25">
      <c r="A25" s="42" t="s">
        <v>77</v>
      </c>
      <c r="B25" s="92" t="s">
        <v>52</v>
      </c>
      <c r="C25" s="91">
        <v>850.0</v>
      </c>
      <c r="D25" s="93"/>
    </row>
    <row r="26">
      <c r="A26" s="42" t="s">
        <v>78</v>
      </c>
      <c r="B26" s="92" t="s">
        <v>52</v>
      </c>
      <c r="C26" s="91">
        <v>1715.0</v>
      </c>
      <c r="D26" s="93"/>
    </row>
    <row r="27">
      <c r="A27" s="92" t="s">
        <v>79</v>
      </c>
      <c r="B27" s="92" t="s">
        <v>52</v>
      </c>
      <c r="C27" s="91">
        <v>680.0</v>
      </c>
      <c r="D27" s="93"/>
    </row>
    <row r="28">
      <c r="A28" s="92" t="s">
        <v>80</v>
      </c>
      <c r="B28" s="92" t="s">
        <v>81</v>
      </c>
      <c r="C28" s="91">
        <v>760.0</v>
      </c>
      <c r="D28" s="94"/>
    </row>
    <row r="29">
      <c r="A29" s="92" t="s">
        <v>82</v>
      </c>
      <c r="B29" s="92" t="s">
        <v>83</v>
      </c>
      <c r="C29" s="91">
        <v>800.0</v>
      </c>
      <c r="D29" s="94"/>
    </row>
    <row r="30">
      <c r="A30" s="92" t="s">
        <v>84</v>
      </c>
      <c r="B30" s="92" t="s">
        <v>83</v>
      </c>
      <c r="C30" s="91">
        <v>1000.0</v>
      </c>
      <c r="D30" s="94"/>
    </row>
    <row r="31">
      <c r="C31" s="95"/>
    </row>
    <row r="32">
      <c r="C32" s="95"/>
    </row>
    <row r="33">
      <c r="C33" s="95"/>
    </row>
    <row r="34">
      <c r="C34" s="95"/>
    </row>
    <row r="35">
      <c r="C35" s="95"/>
    </row>
    <row r="36">
      <c r="C36" s="95"/>
    </row>
    <row r="37">
      <c r="C37" s="95"/>
    </row>
    <row r="38">
      <c r="C38" s="95"/>
    </row>
    <row r="39">
      <c r="C39" s="95"/>
    </row>
    <row r="40">
      <c r="C40" s="95"/>
    </row>
    <row r="41">
      <c r="C41" s="95"/>
    </row>
    <row r="42">
      <c r="C42" s="95"/>
    </row>
    <row r="43">
      <c r="C43" s="95"/>
    </row>
    <row r="44">
      <c r="C44" s="95"/>
    </row>
    <row r="45">
      <c r="C45" s="95"/>
    </row>
    <row r="46">
      <c r="C46" s="95"/>
    </row>
    <row r="47">
      <c r="C47" s="95"/>
    </row>
    <row r="48">
      <c r="C48" s="95"/>
    </row>
    <row r="49">
      <c r="C49" s="95"/>
    </row>
    <row r="50">
      <c r="C50" s="95"/>
    </row>
    <row r="51">
      <c r="C51" s="95"/>
    </row>
    <row r="52">
      <c r="C52" s="95"/>
    </row>
    <row r="53">
      <c r="C53" s="95"/>
    </row>
    <row r="54">
      <c r="C54" s="95"/>
    </row>
    <row r="55">
      <c r="C55" s="95"/>
    </row>
    <row r="56">
      <c r="C56" s="95"/>
    </row>
    <row r="57">
      <c r="C57" s="95"/>
    </row>
    <row r="58">
      <c r="C58" s="95"/>
    </row>
    <row r="59">
      <c r="C59" s="95"/>
    </row>
    <row r="60">
      <c r="C60" s="95"/>
    </row>
    <row r="61">
      <c r="C61" s="95"/>
    </row>
    <row r="62">
      <c r="C62" s="95"/>
    </row>
    <row r="63">
      <c r="C63" s="95"/>
    </row>
    <row r="64">
      <c r="C64" s="95"/>
    </row>
    <row r="65">
      <c r="C65" s="95"/>
    </row>
    <row r="66">
      <c r="C66" s="95"/>
    </row>
    <row r="67">
      <c r="C67" s="95"/>
    </row>
    <row r="68">
      <c r="C68" s="95"/>
    </row>
    <row r="69">
      <c r="C69" s="95"/>
    </row>
    <row r="70">
      <c r="C70" s="95"/>
    </row>
    <row r="71">
      <c r="C71" s="95"/>
    </row>
    <row r="72">
      <c r="C72" s="95"/>
    </row>
    <row r="73">
      <c r="C73" s="95"/>
    </row>
    <row r="74">
      <c r="C74" s="95"/>
    </row>
    <row r="75">
      <c r="C75" s="95"/>
    </row>
    <row r="76">
      <c r="C76" s="95"/>
    </row>
    <row r="77">
      <c r="C77" s="95"/>
    </row>
    <row r="78">
      <c r="C78" s="95"/>
    </row>
    <row r="79">
      <c r="C79" s="95"/>
    </row>
    <row r="80">
      <c r="C80" s="95"/>
    </row>
    <row r="81">
      <c r="C81" s="95"/>
    </row>
    <row r="82">
      <c r="C82" s="95"/>
    </row>
    <row r="83">
      <c r="C83" s="95"/>
    </row>
    <row r="84">
      <c r="C84" s="95"/>
    </row>
    <row r="85">
      <c r="C85" s="95"/>
    </row>
    <row r="86">
      <c r="C86" s="95"/>
    </row>
    <row r="87">
      <c r="C87" s="95"/>
    </row>
    <row r="88">
      <c r="C88" s="95"/>
    </row>
    <row r="89">
      <c r="C89" s="95"/>
    </row>
    <row r="90">
      <c r="C90" s="95"/>
    </row>
    <row r="91">
      <c r="C91" s="95"/>
    </row>
    <row r="92">
      <c r="C92" s="95"/>
    </row>
    <row r="93">
      <c r="C93" s="95"/>
    </row>
    <row r="94">
      <c r="C94" s="95"/>
    </row>
    <row r="95">
      <c r="C95" s="95"/>
    </row>
    <row r="96">
      <c r="C96" s="95"/>
    </row>
    <row r="97">
      <c r="C97" s="95"/>
    </row>
    <row r="98">
      <c r="C98" s="95"/>
    </row>
    <row r="99">
      <c r="C99" s="95"/>
    </row>
    <row r="100">
      <c r="C100" s="95"/>
    </row>
    <row r="101">
      <c r="C101" s="95"/>
    </row>
    <row r="102">
      <c r="C102" s="95"/>
    </row>
    <row r="103">
      <c r="C103" s="95"/>
    </row>
    <row r="104">
      <c r="C104" s="95"/>
    </row>
    <row r="105">
      <c r="C105" s="95"/>
    </row>
    <row r="106">
      <c r="C106" s="95"/>
    </row>
    <row r="107">
      <c r="C107" s="95"/>
    </row>
    <row r="108">
      <c r="C108" s="95"/>
    </row>
    <row r="109">
      <c r="C109" s="95"/>
    </row>
    <row r="110">
      <c r="C110" s="95"/>
    </row>
    <row r="111">
      <c r="C111" s="95"/>
    </row>
    <row r="112">
      <c r="C112" s="95"/>
    </row>
    <row r="113">
      <c r="C113" s="95"/>
    </row>
    <row r="114">
      <c r="C114" s="95"/>
    </row>
    <row r="115">
      <c r="C115" s="95"/>
    </row>
    <row r="116">
      <c r="C116" s="95"/>
    </row>
    <row r="117">
      <c r="C117" s="95"/>
    </row>
    <row r="118">
      <c r="C118" s="95"/>
    </row>
    <row r="119">
      <c r="C119" s="95"/>
    </row>
    <row r="120">
      <c r="C120" s="95"/>
    </row>
    <row r="121">
      <c r="C121" s="95"/>
    </row>
    <row r="122">
      <c r="C122" s="95"/>
    </row>
    <row r="123">
      <c r="C123" s="95"/>
    </row>
    <row r="124">
      <c r="C124" s="95"/>
    </row>
    <row r="125">
      <c r="C125" s="95"/>
    </row>
    <row r="126">
      <c r="C126" s="95"/>
    </row>
    <row r="127">
      <c r="C127" s="95"/>
    </row>
    <row r="128">
      <c r="C128" s="95"/>
    </row>
    <row r="129">
      <c r="C129" s="95"/>
    </row>
    <row r="130">
      <c r="C130" s="95"/>
    </row>
    <row r="131">
      <c r="C131" s="95"/>
    </row>
    <row r="132">
      <c r="C132" s="95"/>
    </row>
    <row r="133">
      <c r="C133" s="95"/>
    </row>
    <row r="134">
      <c r="C134" s="95"/>
    </row>
    <row r="135">
      <c r="C135" s="95"/>
    </row>
    <row r="136">
      <c r="C136" s="95"/>
    </row>
    <row r="137">
      <c r="C137" s="95"/>
    </row>
    <row r="138">
      <c r="C138" s="95"/>
    </row>
    <row r="139">
      <c r="C139" s="95"/>
    </row>
    <row r="140">
      <c r="C140" s="95"/>
    </row>
    <row r="141">
      <c r="C141" s="95"/>
    </row>
    <row r="142">
      <c r="C142" s="95"/>
    </row>
    <row r="143">
      <c r="C143" s="95"/>
    </row>
    <row r="144">
      <c r="C144" s="95"/>
    </row>
    <row r="145">
      <c r="C145" s="95"/>
    </row>
    <row r="146">
      <c r="C146" s="95"/>
    </row>
    <row r="147">
      <c r="C147" s="95"/>
    </row>
    <row r="148">
      <c r="C148" s="95"/>
    </row>
    <row r="149">
      <c r="C149" s="95"/>
    </row>
    <row r="150">
      <c r="C150" s="95"/>
    </row>
    <row r="151">
      <c r="C151" s="95"/>
    </row>
    <row r="152">
      <c r="C152" s="95"/>
    </row>
    <row r="153">
      <c r="C153" s="95"/>
    </row>
    <row r="154">
      <c r="C154" s="95"/>
    </row>
    <row r="155">
      <c r="C155" s="95"/>
    </row>
    <row r="156">
      <c r="C156" s="95"/>
    </row>
    <row r="157">
      <c r="C157" s="95"/>
    </row>
    <row r="158">
      <c r="C158" s="95"/>
    </row>
    <row r="159">
      <c r="C159" s="95"/>
    </row>
    <row r="160">
      <c r="C160" s="95"/>
    </row>
    <row r="161">
      <c r="C161" s="95"/>
    </row>
    <row r="162">
      <c r="C162" s="95"/>
    </row>
    <row r="163">
      <c r="C163" s="95"/>
    </row>
    <row r="164">
      <c r="C164" s="95"/>
    </row>
    <row r="165">
      <c r="C165" s="95"/>
    </row>
    <row r="166">
      <c r="C166" s="95"/>
    </row>
    <row r="167">
      <c r="C167" s="95"/>
    </row>
    <row r="168">
      <c r="C168" s="95"/>
    </row>
    <row r="169">
      <c r="C169" s="95"/>
    </row>
    <row r="170">
      <c r="C170" s="95"/>
    </row>
    <row r="171">
      <c r="C171" s="95"/>
    </row>
    <row r="172">
      <c r="C172" s="95"/>
    </row>
    <row r="173">
      <c r="C173" s="95"/>
    </row>
    <row r="174">
      <c r="C174" s="95"/>
    </row>
    <row r="175">
      <c r="C175" s="95"/>
    </row>
    <row r="176">
      <c r="C176" s="95"/>
    </row>
    <row r="177">
      <c r="C177" s="95"/>
    </row>
    <row r="178">
      <c r="C178" s="95"/>
    </row>
    <row r="179">
      <c r="C179" s="95"/>
    </row>
    <row r="180">
      <c r="C180" s="95"/>
    </row>
    <row r="181">
      <c r="C181" s="95"/>
    </row>
    <row r="182">
      <c r="C182" s="95"/>
    </row>
    <row r="183">
      <c r="C183" s="95"/>
    </row>
    <row r="184">
      <c r="C184" s="95"/>
    </row>
    <row r="185">
      <c r="C185" s="95"/>
    </row>
    <row r="186">
      <c r="C186" s="95"/>
    </row>
    <row r="187">
      <c r="C187" s="95"/>
    </row>
    <row r="188">
      <c r="C188" s="95"/>
    </row>
    <row r="189">
      <c r="C189" s="95"/>
    </row>
    <row r="190">
      <c r="C190" s="95"/>
    </row>
    <row r="191">
      <c r="C191" s="95"/>
    </row>
    <row r="192">
      <c r="C192" s="95"/>
    </row>
    <row r="193">
      <c r="C193" s="95"/>
    </row>
    <row r="194">
      <c r="C194" s="95"/>
    </row>
    <row r="195">
      <c r="C195" s="95"/>
    </row>
    <row r="196">
      <c r="C196" s="95"/>
    </row>
    <row r="197">
      <c r="C197" s="95"/>
    </row>
    <row r="198">
      <c r="C198" s="95"/>
    </row>
    <row r="199">
      <c r="C199" s="95"/>
    </row>
    <row r="200">
      <c r="C200" s="95"/>
    </row>
    <row r="201">
      <c r="C201" s="95"/>
    </row>
    <row r="202">
      <c r="C202" s="95"/>
    </row>
    <row r="203">
      <c r="C203" s="95"/>
    </row>
    <row r="204">
      <c r="C204" s="95"/>
    </row>
    <row r="205">
      <c r="C205" s="95"/>
    </row>
    <row r="206">
      <c r="C206" s="95"/>
    </row>
    <row r="207">
      <c r="C207" s="95"/>
    </row>
    <row r="208">
      <c r="C208" s="95"/>
    </row>
    <row r="209">
      <c r="C209" s="95"/>
    </row>
    <row r="210">
      <c r="C210" s="95"/>
    </row>
    <row r="211">
      <c r="C211" s="95"/>
    </row>
    <row r="212">
      <c r="C212" s="95"/>
    </row>
    <row r="213">
      <c r="C213" s="95"/>
    </row>
    <row r="214">
      <c r="C214" s="95"/>
    </row>
    <row r="215">
      <c r="C215" s="95"/>
    </row>
    <row r="216">
      <c r="C216" s="95"/>
    </row>
    <row r="217">
      <c r="C217" s="95"/>
    </row>
    <row r="218">
      <c r="C218" s="95"/>
    </row>
    <row r="219">
      <c r="C219" s="95"/>
    </row>
    <row r="220">
      <c r="C220" s="95"/>
    </row>
    <row r="221">
      <c r="C221" s="95"/>
    </row>
    <row r="222">
      <c r="C222" s="95"/>
    </row>
    <row r="223">
      <c r="C223" s="95"/>
    </row>
    <row r="224">
      <c r="C224" s="95"/>
    </row>
    <row r="225">
      <c r="C225" s="95"/>
    </row>
    <row r="226">
      <c r="C226" s="95"/>
    </row>
    <row r="227">
      <c r="C227" s="95"/>
    </row>
    <row r="228">
      <c r="C228" s="95"/>
    </row>
    <row r="229">
      <c r="C229" s="95"/>
    </row>
    <row r="230">
      <c r="C230" s="95"/>
    </row>
    <row r="231">
      <c r="C231" s="95"/>
    </row>
    <row r="232">
      <c r="C232" s="95"/>
    </row>
    <row r="233">
      <c r="C233" s="95"/>
    </row>
    <row r="234">
      <c r="C234" s="95"/>
    </row>
    <row r="235">
      <c r="C235" s="95"/>
    </row>
    <row r="236">
      <c r="C236" s="95"/>
    </row>
    <row r="237">
      <c r="C237" s="95"/>
    </row>
    <row r="238">
      <c r="C238" s="95"/>
    </row>
    <row r="239">
      <c r="C239" s="95"/>
    </row>
    <row r="240">
      <c r="C240" s="95"/>
    </row>
    <row r="241">
      <c r="C241" s="95"/>
    </row>
    <row r="242">
      <c r="C242" s="95"/>
    </row>
    <row r="243">
      <c r="C243" s="95"/>
    </row>
    <row r="244">
      <c r="C244" s="95"/>
    </row>
    <row r="245">
      <c r="C245" s="95"/>
    </row>
    <row r="246">
      <c r="C246" s="95"/>
    </row>
    <row r="247">
      <c r="C247" s="95"/>
    </row>
    <row r="248">
      <c r="C248" s="95"/>
    </row>
    <row r="249">
      <c r="C249" s="95"/>
    </row>
    <row r="250">
      <c r="C250" s="95"/>
    </row>
    <row r="251">
      <c r="C251" s="95"/>
    </row>
    <row r="252">
      <c r="C252" s="95"/>
    </row>
    <row r="253">
      <c r="C253" s="95"/>
    </row>
    <row r="254">
      <c r="C254" s="95"/>
    </row>
    <row r="255">
      <c r="C255" s="95"/>
    </row>
    <row r="256">
      <c r="C256" s="95"/>
    </row>
    <row r="257">
      <c r="C257" s="95"/>
    </row>
    <row r="258">
      <c r="C258" s="95"/>
    </row>
    <row r="259">
      <c r="C259" s="95"/>
    </row>
    <row r="260">
      <c r="C260" s="95"/>
    </row>
    <row r="261">
      <c r="C261" s="95"/>
    </row>
    <row r="262">
      <c r="C262" s="95"/>
    </row>
    <row r="263">
      <c r="C263" s="95"/>
    </row>
    <row r="264">
      <c r="C264" s="95"/>
    </row>
    <row r="265">
      <c r="C265" s="95"/>
    </row>
    <row r="266">
      <c r="C266" s="95"/>
    </row>
    <row r="267">
      <c r="C267" s="95"/>
    </row>
    <row r="268">
      <c r="C268" s="95"/>
    </row>
    <row r="269">
      <c r="C269" s="95"/>
    </row>
    <row r="270">
      <c r="C270" s="95"/>
    </row>
    <row r="271">
      <c r="C271" s="95"/>
    </row>
    <row r="272">
      <c r="C272" s="95"/>
    </row>
    <row r="273">
      <c r="C273" s="95"/>
    </row>
    <row r="274">
      <c r="C274" s="95"/>
    </row>
    <row r="275">
      <c r="C275" s="95"/>
    </row>
    <row r="276">
      <c r="C276" s="95"/>
    </row>
    <row r="277">
      <c r="C277" s="95"/>
    </row>
    <row r="278">
      <c r="C278" s="95"/>
    </row>
    <row r="279">
      <c r="C279" s="95"/>
    </row>
    <row r="280">
      <c r="C280" s="95"/>
    </row>
    <row r="281">
      <c r="C281" s="95"/>
    </row>
    <row r="282">
      <c r="C282" s="95"/>
    </row>
    <row r="283">
      <c r="C283" s="95"/>
    </row>
    <row r="284">
      <c r="C284" s="95"/>
    </row>
    <row r="285">
      <c r="C285" s="95"/>
    </row>
    <row r="286">
      <c r="C286" s="95"/>
    </row>
    <row r="287">
      <c r="C287" s="95"/>
    </row>
    <row r="288">
      <c r="C288" s="95"/>
    </row>
    <row r="289">
      <c r="C289" s="95"/>
    </row>
    <row r="290">
      <c r="C290" s="95"/>
    </row>
    <row r="291">
      <c r="C291" s="95"/>
    </row>
    <row r="292">
      <c r="C292" s="95"/>
    </row>
    <row r="293">
      <c r="C293" s="95"/>
    </row>
    <row r="294">
      <c r="C294" s="95"/>
    </row>
    <row r="295">
      <c r="C295" s="95"/>
    </row>
    <row r="296">
      <c r="C296" s="95"/>
    </row>
    <row r="297">
      <c r="C297" s="95"/>
    </row>
    <row r="298">
      <c r="C298" s="95"/>
    </row>
    <row r="299">
      <c r="C299" s="95"/>
    </row>
    <row r="300">
      <c r="C300" s="95"/>
    </row>
    <row r="301">
      <c r="C301" s="95"/>
    </row>
    <row r="302">
      <c r="C302" s="95"/>
    </row>
    <row r="303">
      <c r="C303" s="95"/>
    </row>
    <row r="304">
      <c r="C304" s="95"/>
    </row>
    <row r="305">
      <c r="C305" s="95"/>
    </row>
    <row r="306">
      <c r="C306" s="95"/>
    </row>
    <row r="307">
      <c r="C307" s="95"/>
    </row>
    <row r="308">
      <c r="C308" s="95"/>
    </row>
    <row r="309">
      <c r="C309" s="95"/>
    </row>
    <row r="310">
      <c r="C310" s="95"/>
    </row>
    <row r="311">
      <c r="C311" s="95"/>
    </row>
    <row r="312">
      <c r="C312" s="95"/>
    </row>
    <row r="313">
      <c r="C313" s="95"/>
    </row>
    <row r="314">
      <c r="C314" s="95"/>
    </row>
    <row r="315">
      <c r="C315" s="95"/>
    </row>
    <row r="316">
      <c r="C316" s="95"/>
    </row>
    <row r="317">
      <c r="C317" s="95"/>
    </row>
    <row r="318">
      <c r="C318" s="95"/>
    </row>
    <row r="319">
      <c r="C319" s="95"/>
    </row>
    <row r="320">
      <c r="C320" s="95"/>
    </row>
    <row r="321">
      <c r="C321" s="95"/>
    </row>
    <row r="322">
      <c r="C322" s="95"/>
    </row>
    <row r="323">
      <c r="C323" s="95"/>
    </row>
    <row r="324">
      <c r="C324" s="95"/>
    </row>
    <row r="325">
      <c r="C325" s="95"/>
    </row>
    <row r="326">
      <c r="C326" s="95"/>
    </row>
    <row r="327">
      <c r="C327" s="95"/>
    </row>
    <row r="328">
      <c r="C328" s="95"/>
    </row>
    <row r="329">
      <c r="C329" s="95"/>
    </row>
    <row r="330">
      <c r="C330" s="95"/>
    </row>
    <row r="331">
      <c r="C331" s="95"/>
    </row>
    <row r="332">
      <c r="C332" s="95"/>
    </row>
    <row r="333">
      <c r="C333" s="95"/>
    </row>
    <row r="334">
      <c r="C334" s="95"/>
    </row>
    <row r="335">
      <c r="C335" s="95"/>
    </row>
    <row r="336">
      <c r="C336" s="95"/>
    </row>
    <row r="337">
      <c r="C337" s="95"/>
    </row>
    <row r="338">
      <c r="C338" s="95"/>
    </row>
    <row r="339">
      <c r="C339" s="95"/>
    </row>
    <row r="340">
      <c r="C340" s="95"/>
    </row>
    <row r="341">
      <c r="C341" s="95"/>
    </row>
    <row r="342">
      <c r="C342" s="95"/>
    </row>
    <row r="343">
      <c r="C343" s="95"/>
    </row>
    <row r="344">
      <c r="C344" s="95"/>
    </row>
    <row r="345">
      <c r="C345" s="95"/>
    </row>
    <row r="346">
      <c r="C346" s="95"/>
    </row>
    <row r="347">
      <c r="C347" s="95"/>
    </row>
    <row r="348">
      <c r="C348" s="95"/>
    </row>
    <row r="349">
      <c r="C349" s="95"/>
    </row>
    <row r="350">
      <c r="C350" s="95"/>
    </row>
    <row r="351">
      <c r="C351" s="95"/>
    </row>
    <row r="352">
      <c r="C352" s="95"/>
    </row>
    <row r="353">
      <c r="C353" s="95"/>
    </row>
    <row r="354">
      <c r="C354" s="95"/>
    </row>
    <row r="355">
      <c r="C355" s="95"/>
    </row>
    <row r="356">
      <c r="C356" s="95"/>
    </row>
    <row r="357">
      <c r="C357" s="95"/>
    </row>
    <row r="358">
      <c r="C358" s="95"/>
    </row>
    <row r="359">
      <c r="C359" s="95"/>
    </row>
    <row r="360">
      <c r="C360" s="95"/>
    </row>
    <row r="361">
      <c r="C361" s="95"/>
    </row>
    <row r="362">
      <c r="C362" s="95"/>
    </row>
    <row r="363">
      <c r="C363" s="95"/>
    </row>
    <row r="364">
      <c r="C364" s="95"/>
    </row>
    <row r="365">
      <c r="C365" s="95"/>
    </row>
    <row r="366">
      <c r="C366" s="95"/>
    </row>
    <row r="367">
      <c r="C367" s="95"/>
    </row>
    <row r="368">
      <c r="C368" s="95"/>
    </row>
    <row r="369">
      <c r="C369" s="95"/>
    </row>
    <row r="370">
      <c r="C370" s="95"/>
    </row>
    <row r="371">
      <c r="C371" s="95"/>
    </row>
    <row r="372">
      <c r="C372" s="95"/>
    </row>
    <row r="373">
      <c r="C373" s="95"/>
    </row>
    <row r="374">
      <c r="C374" s="95"/>
    </row>
    <row r="375">
      <c r="C375" s="95"/>
    </row>
    <row r="376">
      <c r="C376" s="95"/>
    </row>
    <row r="377">
      <c r="C377" s="95"/>
    </row>
    <row r="378">
      <c r="C378" s="95"/>
    </row>
    <row r="379">
      <c r="C379" s="95"/>
    </row>
    <row r="380">
      <c r="C380" s="95"/>
    </row>
    <row r="381">
      <c r="C381" s="95"/>
    </row>
    <row r="382">
      <c r="C382" s="95"/>
    </row>
    <row r="383">
      <c r="C383" s="95"/>
    </row>
    <row r="384">
      <c r="C384" s="95"/>
    </row>
    <row r="385">
      <c r="C385" s="95"/>
    </row>
    <row r="386">
      <c r="C386" s="95"/>
    </row>
    <row r="387">
      <c r="C387" s="95"/>
    </row>
    <row r="388">
      <c r="C388" s="95"/>
    </row>
    <row r="389">
      <c r="C389" s="95"/>
    </row>
    <row r="390">
      <c r="C390" s="95"/>
    </row>
    <row r="391">
      <c r="C391" s="95"/>
    </row>
    <row r="392">
      <c r="C392" s="95"/>
    </row>
    <row r="393">
      <c r="C393" s="95"/>
    </row>
    <row r="394">
      <c r="C394" s="95"/>
    </row>
    <row r="395">
      <c r="C395" s="95"/>
    </row>
    <row r="396">
      <c r="C396" s="95"/>
    </row>
    <row r="397">
      <c r="C397" s="95"/>
    </row>
    <row r="398">
      <c r="C398" s="95"/>
    </row>
    <row r="399">
      <c r="C399" s="95"/>
    </row>
    <row r="400">
      <c r="C400" s="95"/>
    </row>
    <row r="401">
      <c r="C401" s="95"/>
    </row>
    <row r="402">
      <c r="C402" s="95"/>
    </row>
    <row r="403">
      <c r="C403" s="95"/>
    </row>
    <row r="404">
      <c r="C404" s="95"/>
    </row>
    <row r="405">
      <c r="C405" s="95"/>
    </row>
    <row r="406">
      <c r="C406" s="95"/>
    </row>
    <row r="407">
      <c r="C407" s="95"/>
    </row>
    <row r="408">
      <c r="C408" s="95"/>
    </row>
    <row r="409">
      <c r="C409" s="95"/>
    </row>
    <row r="410">
      <c r="C410" s="95"/>
    </row>
    <row r="411">
      <c r="C411" s="95"/>
    </row>
    <row r="412">
      <c r="C412" s="95"/>
    </row>
    <row r="413">
      <c r="C413" s="95"/>
    </row>
    <row r="414">
      <c r="C414" s="95"/>
    </row>
    <row r="415">
      <c r="C415" s="95"/>
    </row>
    <row r="416">
      <c r="C416" s="95"/>
    </row>
    <row r="417">
      <c r="C417" s="95"/>
    </row>
    <row r="418">
      <c r="C418" s="95"/>
    </row>
    <row r="419">
      <c r="C419" s="95"/>
    </row>
    <row r="420">
      <c r="C420" s="95"/>
    </row>
    <row r="421">
      <c r="C421" s="95"/>
    </row>
    <row r="422">
      <c r="C422" s="95"/>
    </row>
    <row r="423">
      <c r="C423" s="95"/>
    </row>
    <row r="424">
      <c r="C424" s="95"/>
    </row>
    <row r="425">
      <c r="C425" s="95"/>
    </row>
    <row r="426">
      <c r="C426" s="95"/>
    </row>
    <row r="427">
      <c r="C427" s="95"/>
    </row>
    <row r="428">
      <c r="C428" s="95"/>
    </row>
    <row r="429">
      <c r="C429" s="95"/>
    </row>
    <row r="430">
      <c r="C430" s="95"/>
    </row>
    <row r="431">
      <c r="C431" s="95"/>
    </row>
    <row r="432">
      <c r="C432" s="95"/>
    </row>
    <row r="433">
      <c r="C433" s="95"/>
    </row>
    <row r="434">
      <c r="C434" s="95"/>
    </row>
    <row r="435">
      <c r="C435" s="95"/>
    </row>
    <row r="436">
      <c r="C436" s="95"/>
    </row>
    <row r="437">
      <c r="C437" s="95"/>
    </row>
    <row r="438">
      <c r="C438" s="95"/>
    </row>
    <row r="439">
      <c r="C439" s="95"/>
    </row>
    <row r="440">
      <c r="C440" s="95"/>
    </row>
    <row r="441">
      <c r="C441" s="95"/>
    </row>
    <row r="442">
      <c r="C442" s="95"/>
    </row>
    <row r="443">
      <c r="C443" s="95"/>
    </row>
    <row r="444">
      <c r="C444" s="95"/>
    </row>
    <row r="445">
      <c r="C445" s="95"/>
    </row>
    <row r="446">
      <c r="C446" s="95"/>
    </row>
    <row r="447">
      <c r="C447" s="95"/>
    </row>
    <row r="448">
      <c r="C448" s="95"/>
    </row>
    <row r="449">
      <c r="C449" s="95"/>
    </row>
    <row r="450">
      <c r="C450" s="95"/>
    </row>
    <row r="451">
      <c r="C451" s="95"/>
    </row>
    <row r="452">
      <c r="C452" s="95"/>
    </row>
    <row r="453">
      <c r="C453" s="95"/>
    </row>
    <row r="454">
      <c r="C454" s="95"/>
    </row>
    <row r="455">
      <c r="C455" s="95"/>
    </row>
    <row r="456">
      <c r="C456" s="95"/>
    </row>
    <row r="457">
      <c r="C457" s="95"/>
    </row>
    <row r="458">
      <c r="C458" s="95"/>
    </row>
    <row r="459">
      <c r="C459" s="95"/>
    </row>
    <row r="460">
      <c r="C460" s="95"/>
    </row>
    <row r="461">
      <c r="C461" s="95"/>
    </row>
    <row r="462">
      <c r="C462" s="95"/>
    </row>
    <row r="463">
      <c r="C463" s="95"/>
    </row>
    <row r="464">
      <c r="C464" s="95"/>
    </row>
    <row r="465">
      <c r="C465" s="95"/>
    </row>
    <row r="466">
      <c r="C466" s="95"/>
    </row>
    <row r="467">
      <c r="C467" s="95"/>
    </row>
    <row r="468">
      <c r="C468" s="95"/>
    </row>
    <row r="469">
      <c r="C469" s="95"/>
    </row>
    <row r="470">
      <c r="C470" s="95"/>
    </row>
    <row r="471">
      <c r="C471" s="95"/>
    </row>
    <row r="472">
      <c r="C472" s="95"/>
    </row>
    <row r="473">
      <c r="C473" s="95"/>
    </row>
    <row r="474">
      <c r="C474" s="95"/>
    </row>
    <row r="475">
      <c r="C475" s="95"/>
    </row>
    <row r="476">
      <c r="C476" s="95"/>
    </row>
    <row r="477">
      <c r="C477" s="95"/>
    </row>
    <row r="478">
      <c r="C478" s="95"/>
    </row>
    <row r="479">
      <c r="C479" s="95"/>
    </row>
    <row r="480">
      <c r="C480" s="95"/>
    </row>
    <row r="481">
      <c r="C481" s="95"/>
    </row>
    <row r="482">
      <c r="C482" s="95"/>
    </row>
    <row r="483">
      <c r="C483" s="95"/>
    </row>
    <row r="484">
      <c r="C484" s="95"/>
    </row>
    <row r="485">
      <c r="C485" s="95"/>
    </row>
    <row r="486">
      <c r="C486" s="95"/>
    </row>
    <row r="487">
      <c r="C487" s="95"/>
    </row>
    <row r="488">
      <c r="C488" s="95"/>
    </row>
    <row r="489">
      <c r="C489" s="95"/>
    </row>
    <row r="490">
      <c r="C490" s="95"/>
    </row>
    <row r="491">
      <c r="C491" s="95"/>
    </row>
    <row r="492">
      <c r="C492" s="95"/>
    </row>
    <row r="493">
      <c r="C493" s="95"/>
    </row>
    <row r="494">
      <c r="C494" s="95"/>
    </row>
    <row r="495">
      <c r="C495" s="95"/>
    </row>
    <row r="496">
      <c r="C496" s="95"/>
    </row>
    <row r="497">
      <c r="C497" s="95"/>
    </row>
    <row r="498">
      <c r="C498" s="95"/>
    </row>
    <row r="499">
      <c r="C499" s="95"/>
    </row>
    <row r="500">
      <c r="C500" s="95"/>
    </row>
    <row r="501">
      <c r="C501" s="95"/>
    </row>
    <row r="502">
      <c r="C502" s="95"/>
    </row>
    <row r="503">
      <c r="C503" s="95"/>
    </row>
    <row r="504">
      <c r="C504" s="95"/>
    </row>
    <row r="505">
      <c r="C505" s="95"/>
    </row>
    <row r="506">
      <c r="C506" s="95"/>
    </row>
    <row r="507">
      <c r="C507" s="95"/>
    </row>
    <row r="508">
      <c r="C508" s="95"/>
    </row>
    <row r="509">
      <c r="C509" s="95"/>
    </row>
    <row r="510">
      <c r="C510" s="95"/>
    </row>
    <row r="511">
      <c r="C511" s="95"/>
    </row>
    <row r="512">
      <c r="C512" s="95"/>
    </row>
    <row r="513">
      <c r="C513" s="95"/>
    </row>
    <row r="514">
      <c r="C514" s="95"/>
    </row>
    <row r="515">
      <c r="C515" s="95"/>
    </row>
    <row r="516">
      <c r="C516" s="95"/>
    </row>
    <row r="517">
      <c r="C517" s="95"/>
    </row>
    <row r="518">
      <c r="C518" s="95"/>
    </row>
    <row r="519">
      <c r="C519" s="95"/>
    </row>
    <row r="520">
      <c r="C520" s="95"/>
    </row>
    <row r="521">
      <c r="C521" s="95"/>
    </row>
    <row r="522">
      <c r="C522" s="95"/>
    </row>
    <row r="523">
      <c r="C523" s="95"/>
    </row>
    <row r="524">
      <c r="C524" s="95"/>
    </row>
    <row r="525">
      <c r="C525" s="95"/>
    </row>
    <row r="526">
      <c r="C526" s="95"/>
    </row>
    <row r="527">
      <c r="C527" s="95"/>
    </row>
    <row r="528">
      <c r="C528" s="95"/>
    </row>
    <row r="529">
      <c r="C529" s="95"/>
    </row>
    <row r="530">
      <c r="C530" s="95"/>
    </row>
    <row r="531">
      <c r="C531" s="95"/>
    </row>
    <row r="532">
      <c r="C532" s="95"/>
    </row>
    <row r="533">
      <c r="C533" s="95"/>
    </row>
    <row r="534">
      <c r="C534" s="95"/>
    </row>
    <row r="535">
      <c r="C535" s="95"/>
    </row>
    <row r="536">
      <c r="C536" s="95"/>
    </row>
    <row r="537">
      <c r="C537" s="95"/>
    </row>
    <row r="538">
      <c r="C538" s="95"/>
    </row>
    <row r="539">
      <c r="C539" s="95"/>
    </row>
    <row r="540">
      <c r="C540" s="95"/>
    </row>
    <row r="541">
      <c r="C541" s="95"/>
    </row>
    <row r="542">
      <c r="C542" s="95"/>
    </row>
    <row r="543">
      <c r="C543" s="95"/>
    </row>
    <row r="544">
      <c r="C544" s="95"/>
    </row>
    <row r="545">
      <c r="C545" s="95"/>
    </row>
    <row r="546">
      <c r="C546" s="95"/>
    </row>
    <row r="547">
      <c r="C547" s="95"/>
    </row>
    <row r="548">
      <c r="C548" s="95"/>
    </row>
    <row r="549">
      <c r="C549" s="95"/>
    </row>
    <row r="550">
      <c r="C550" s="95"/>
    </row>
    <row r="551">
      <c r="C551" s="95"/>
    </row>
    <row r="552">
      <c r="C552" s="95"/>
    </row>
    <row r="553">
      <c r="C553" s="95"/>
    </row>
    <row r="554">
      <c r="C554" s="95"/>
    </row>
    <row r="555">
      <c r="C555" s="95"/>
    </row>
    <row r="556">
      <c r="C556" s="95"/>
    </row>
    <row r="557">
      <c r="C557" s="95"/>
    </row>
    <row r="558">
      <c r="C558" s="95"/>
    </row>
    <row r="559">
      <c r="C559" s="95"/>
    </row>
    <row r="560">
      <c r="C560" s="95"/>
    </row>
    <row r="561">
      <c r="C561" s="95"/>
    </row>
    <row r="562">
      <c r="C562" s="95"/>
    </row>
    <row r="563">
      <c r="C563" s="95"/>
    </row>
    <row r="564">
      <c r="C564" s="95"/>
    </row>
    <row r="565">
      <c r="C565" s="95"/>
    </row>
    <row r="566">
      <c r="C566" s="95"/>
    </row>
    <row r="567">
      <c r="C567" s="95"/>
    </row>
    <row r="568">
      <c r="C568" s="95"/>
    </row>
    <row r="569">
      <c r="C569" s="95"/>
    </row>
    <row r="570">
      <c r="C570" s="95"/>
    </row>
    <row r="571">
      <c r="C571" s="95"/>
    </row>
    <row r="572">
      <c r="C572" s="95"/>
    </row>
    <row r="573">
      <c r="C573" s="95"/>
    </row>
    <row r="574">
      <c r="C574" s="95"/>
    </row>
    <row r="575">
      <c r="C575" s="95"/>
    </row>
    <row r="576">
      <c r="C576" s="95"/>
    </row>
    <row r="577">
      <c r="C577" s="95"/>
    </row>
    <row r="578">
      <c r="C578" s="95"/>
    </row>
    <row r="579">
      <c r="C579" s="95"/>
    </row>
    <row r="580">
      <c r="C580" s="95"/>
    </row>
    <row r="581">
      <c r="C581" s="95"/>
    </row>
    <row r="582">
      <c r="C582" s="95"/>
    </row>
    <row r="583">
      <c r="C583" s="95"/>
    </row>
    <row r="584">
      <c r="C584" s="95"/>
    </row>
    <row r="585">
      <c r="C585" s="95"/>
    </row>
    <row r="586">
      <c r="C586" s="95"/>
    </row>
    <row r="587">
      <c r="C587" s="95"/>
    </row>
    <row r="588">
      <c r="C588" s="95"/>
    </row>
    <row r="589">
      <c r="C589" s="95"/>
    </row>
    <row r="590">
      <c r="C590" s="95"/>
    </row>
    <row r="591">
      <c r="C591" s="95"/>
    </row>
    <row r="592">
      <c r="C592" s="95"/>
    </row>
    <row r="593">
      <c r="C593" s="95"/>
    </row>
    <row r="594">
      <c r="C594" s="95"/>
    </row>
    <row r="595">
      <c r="C595" s="95"/>
    </row>
    <row r="596">
      <c r="C596" s="95"/>
    </row>
    <row r="597">
      <c r="C597" s="95"/>
    </row>
    <row r="598">
      <c r="C598" s="95"/>
    </row>
    <row r="599">
      <c r="C599" s="95"/>
    </row>
    <row r="600">
      <c r="C600" s="95"/>
    </row>
    <row r="601">
      <c r="C601" s="95"/>
    </row>
    <row r="602">
      <c r="C602" s="95"/>
    </row>
    <row r="603">
      <c r="C603" s="95"/>
    </row>
    <row r="604">
      <c r="C604" s="95"/>
    </row>
    <row r="605">
      <c r="C605" s="95"/>
    </row>
    <row r="606">
      <c r="C606" s="95"/>
    </row>
    <row r="607">
      <c r="C607" s="95"/>
    </row>
    <row r="608">
      <c r="C608" s="95"/>
    </row>
    <row r="609">
      <c r="C609" s="95"/>
    </row>
    <row r="610">
      <c r="C610" s="95"/>
    </row>
    <row r="611">
      <c r="C611" s="95"/>
    </row>
    <row r="612">
      <c r="C612" s="95"/>
    </row>
    <row r="613">
      <c r="C613" s="95"/>
    </row>
    <row r="614">
      <c r="C614" s="95"/>
    </row>
    <row r="615">
      <c r="C615" s="95"/>
    </row>
    <row r="616">
      <c r="C616" s="95"/>
    </row>
    <row r="617">
      <c r="C617" s="95"/>
    </row>
    <row r="618">
      <c r="C618" s="95"/>
    </row>
    <row r="619">
      <c r="C619" s="95"/>
    </row>
    <row r="620">
      <c r="C620" s="95"/>
    </row>
    <row r="621">
      <c r="C621" s="95"/>
    </row>
    <row r="622">
      <c r="C622" s="95"/>
    </row>
    <row r="623">
      <c r="C623" s="95"/>
    </row>
    <row r="624">
      <c r="C624" s="95"/>
    </row>
    <row r="625">
      <c r="C625" s="95"/>
    </row>
    <row r="626">
      <c r="C626" s="95"/>
    </row>
    <row r="627">
      <c r="C627" s="95"/>
    </row>
    <row r="628">
      <c r="C628" s="95"/>
    </row>
    <row r="629">
      <c r="C629" s="95"/>
    </row>
    <row r="630">
      <c r="C630" s="95"/>
    </row>
    <row r="631">
      <c r="C631" s="95"/>
    </row>
    <row r="632">
      <c r="C632" s="95"/>
    </row>
    <row r="633">
      <c r="C633" s="95"/>
    </row>
    <row r="634">
      <c r="C634" s="95"/>
    </row>
    <row r="635">
      <c r="C635" s="95"/>
    </row>
    <row r="636">
      <c r="C636" s="95"/>
    </row>
    <row r="637">
      <c r="C637" s="95"/>
    </row>
    <row r="638">
      <c r="C638" s="95"/>
    </row>
    <row r="639">
      <c r="C639" s="95"/>
    </row>
    <row r="640">
      <c r="C640" s="95"/>
    </row>
    <row r="641">
      <c r="C641" s="95"/>
    </row>
    <row r="642">
      <c r="C642" s="95"/>
    </row>
    <row r="643">
      <c r="C643" s="95"/>
    </row>
    <row r="644">
      <c r="C644" s="95"/>
    </row>
    <row r="645">
      <c r="C645" s="95"/>
    </row>
    <row r="646">
      <c r="C646" s="95"/>
    </row>
    <row r="647">
      <c r="C647" s="95"/>
    </row>
    <row r="648">
      <c r="C648" s="95"/>
    </row>
    <row r="649">
      <c r="C649" s="95"/>
    </row>
    <row r="650">
      <c r="C650" s="95"/>
    </row>
    <row r="651">
      <c r="C651" s="95"/>
    </row>
    <row r="652">
      <c r="C652" s="95"/>
    </row>
    <row r="653">
      <c r="C653" s="95"/>
    </row>
    <row r="654">
      <c r="C654" s="95"/>
    </row>
    <row r="655">
      <c r="C655" s="95"/>
    </row>
    <row r="656">
      <c r="C656" s="95"/>
    </row>
    <row r="657">
      <c r="C657" s="95"/>
    </row>
    <row r="658">
      <c r="C658" s="95"/>
    </row>
    <row r="659">
      <c r="C659" s="95"/>
    </row>
    <row r="660">
      <c r="C660" s="95"/>
    </row>
    <row r="661">
      <c r="C661" s="95"/>
    </row>
    <row r="662">
      <c r="C662" s="95"/>
    </row>
    <row r="663">
      <c r="C663" s="95"/>
    </row>
    <row r="664">
      <c r="C664" s="95"/>
    </row>
    <row r="665">
      <c r="C665" s="95"/>
    </row>
    <row r="666">
      <c r="C666" s="95"/>
    </row>
    <row r="667">
      <c r="C667" s="95"/>
    </row>
    <row r="668">
      <c r="C668" s="95"/>
    </row>
    <row r="669">
      <c r="C669" s="95"/>
    </row>
    <row r="670">
      <c r="C670" s="95"/>
    </row>
    <row r="671">
      <c r="C671" s="95"/>
    </row>
    <row r="672">
      <c r="C672" s="95"/>
    </row>
    <row r="673">
      <c r="C673" s="95"/>
    </row>
    <row r="674">
      <c r="C674" s="95"/>
    </row>
    <row r="675">
      <c r="C675" s="95"/>
    </row>
    <row r="676">
      <c r="C676" s="95"/>
    </row>
    <row r="677">
      <c r="C677" s="95"/>
    </row>
    <row r="678">
      <c r="C678" s="95"/>
    </row>
    <row r="679">
      <c r="C679" s="95"/>
    </row>
    <row r="680">
      <c r="C680" s="95"/>
    </row>
    <row r="681">
      <c r="C681" s="95"/>
    </row>
    <row r="682">
      <c r="C682" s="95"/>
    </row>
    <row r="683">
      <c r="C683" s="95"/>
    </row>
    <row r="684">
      <c r="C684" s="95"/>
    </row>
    <row r="685">
      <c r="C685" s="95"/>
    </row>
    <row r="686">
      <c r="C686" s="95"/>
    </row>
    <row r="687">
      <c r="C687" s="95"/>
    </row>
    <row r="688">
      <c r="C688" s="95"/>
    </row>
    <row r="689">
      <c r="C689" s="95"/>
    </row>
    <row r="690">
      <c r="C690" s="95"/>
    </row>
    <row r="691">
      <c r="C691" s="95"/>
    </row>
    <row r="692">
      <c r="C692" s="95"/>
    </row>
    <row r="693">
      <c r="C693" s="95"/>
    </row>
    <row r="694">
      <c r="C694" s="95"/>
    </row>
    <row r="695">
      <c r="C695" s="95"/>
    </row>
    <row r="696">
      <c r="C696" s="95"/>
    </row>
    <row r="697">
      <c r="C697" s="95"/>
    </row>
    <row r="698">
      <c r="C698" s="95"/>
    </row>
    <row r="699">
      <c r="C699" s="95"/>
    </row>
    <row r="700">
      <c r="C700" s="95"/>
    </row>
    <row r="701">
      <c r="C701" s="95"/>
    </row>
    <row r="702">
      <c r="C702" s="95"/>
    </row>
    <row r="703">
      <c r="C703" s="95"/>
    </row>
    <row r="704">
      <c r="C704" s="95"/>
    </row>
    <row r="705">
      <c r="C705" s="95"/>
    </row>
    <row r="706">
      <c r="C706" s="95"/>
    </row>
    <row r="707">
      <c r="C707" s="95"/>
    </row>
    <row r="708">
      <c r="C708" s="95"/>
    </row>
    <row r="709">
      <c r="C709" s="95"/>
    </row>
    <row r="710">
      <c r="C710" s="95"/>
    </row>
    <row r="711">
      <c r="C711" s="95"/>
    </row>
    <row r="712">
      <c r="C712" s="95"/>
    </row>
    <row r="713">
      <c r="C713" s="95"/>
    </row>
    <row r="714">
      <c r="C714" s="95"/>
    </row>
    <row r="715">
      <c r="C715" s="95"/>
    </row>
    <row r="716">
      <c r="C716" s="95"/>
    </row>
    <row r="717">
      <c r="C717" s="95"/>
    </row>
    <row r="718">
      <c r="C718" s="95"/>
    </row>
    <row r="719">
      <c r="C719" s="95"/>
    </row>
    <row r="720">
      <c r="C720" s="95"/>
    </row>
    <row r="721">
      <c r="C721" s="95"/>
    </row>
    <row r="722">
      <c r="C722" s="95"/>
    </row>
    <row r="723">
      <c r="C723" s="95"/>
    </row>
    <row r="724">
      <c r="C724" s="95"/>
    </row>
    <row r="725">
      <c r="C725" s="95"/>
    </row>
    <row r="726">
      <c r="C726" s="95"/>
    </row>
    <row r="727">
      <c r="C727" s="95"/>
    </row>
    <row r="728">
      <c r="C728" s="95"/>
    </row>
    <row r="729">
      <c r="C729" s="95"/>
    </row>
    <row r="730">
      <c r="C730" s="95"/>
    </row>
    <row r="731">
      <c r="C731" s="95"/>
    </row>
    <row r="732">
      <c r="C732" s="95"/>
    </row>
    <row r="733">
      <c r="C733" s="95"/>
    </row>
    <row r="734">
      <c r="C734" s="95"/>
    </row>
    <row r="735">
      <c r="C735" s="95"/>
    </row>
    <row r="736">
      <c r="C736" s="95"/>
    </row>
    <row r="737">
      <c r="C737" s="95"/>
    </row>
    <row r="738">
      <c r="C738" s="95"/>
    </row>
    <row r="739">
      <c r="C739" s="95"/>
    </row>
    <row r="740">
      <c r="C740" s="95"/>
    </row>
    <row r="741">
      <c r="C741" s="95"/>
    </row>
    <row r="742">
      <c r="C742" s="95"/>
    </row>
    <row r="743">
      <c r="C743" s="95"/>
    </row>
    <row r="744">
      <c r="C744" s="95"/>
    </row>
    <row r="745">
      <c r="C745" s="95"/>
    </row>
    <row r="746">
      <c r="C746" s="95"/>
    </row>
    <row r="747">
      <c r="C747" s="95"/>
    </row>
    <row r="748">
      <c r="C748" s="95"/>
    </row>
    <row r="749">
      <c r="C749" s="95"/>
    </row>
    <row r="750">
      <c r="C750" s="95"/>
    </row>
    <row r="751">
      <c r="C751" s="95"/>
    </row>
    <row r="752">
      <c r="C752" s="95"/>
    </row>
    <row r="753">
      <c r="C753" s="95"/>
    </row>
    <row r="754">
      <c r="C754" s="95"/>
    </row>
    <row r="755">
      <c r="C755" s="95"/>
    </row>
    <row r="756">
      <c r="C756" s="95"/>
    </row>
    <row r="757">
      <c r="C757" s="95"/>
    </row>
    <row r="758">
      <c r="C758" s="95"/>
    </row>
    <row r="759">
      <c r="C759" s="95"/>
    </row>
    <row r="760">
      <c r="C760" s="95"/>
    </row>
    <row r="761">
      <c r="C761" s="95"/>
    </row>
    <row r="762">
      <c r="C762" s="95"/>
    </row>
    <row r="763">
      <c r="C763" s="95"/>
    </row>
    <row r="764">
      <c r="C764" s="95"/>
    </row>
    <row r="765">
      <c r="C765" s="95"/>
    </row>
    <row r="766">
      <c r="C766" s="95"/>
    </row>
    <row r="767">
      <c r="C767" s="95"/>
    </row>
    <row r="768">
      <c r="C768" s="95"/>
    </row>
    <row r="769">
      <c r="C769" s="95"/>
    </row>
    <row r="770">
      <c r="C770" s="95"/>
    </row>
    <row r="771">
      <c r="C771" s="95"/>
    </row>
    <row r="772">
      <c r="C772" s="95"/>
    </row>
    <row r="773">
      <c r="C773" s="95"/>
    </row>
    <row r="774">
      <c r="C774" s="95"/>
    </row>
    <row r="775">
      <c r="C775" s="95"/>
    </row>
    <row r="776">
      <c r="C776" s="95"/>
    </row>
    <row r="777">
      <c r="C777" s="95"/>
    </row>
    <row r="778">
      <c r="C778" s="95"/>
    </row>
    <row r="779">
      <c r="C779" s="95"/>
    </row>
    <row r="780">
      <c r="C780" s="95"/>
    </row>
    <row r="781">
      <c r="C781" s="95"/>
    </row>
    <row r="782">
      <c r="C782" s="95"/>
    </row>
    <row r="783">
      <c r="C783" s="95"/>
    </row>
    <row r="784">
      <c r="C784" s="95"/>
    </row>
    <row r="785">
      <c r="C785" s="95"/>
    </row>
    <row r="786">
      <c r="C786" s="95"/>
    </row>
    <row r="787">
      <c r="C787" s="95"/>
    </row>
    <row r="788">
      <c r="C788" s="95"/>
    </row>
    <row r="789">
      <c r="C789" s="95"/>
    </row>
    <row r="790">
      <c r="C790" s="95"/>
    </row>
    <row r="791">
      <c r="C791" s="95"/>
    </row>
    <row r="792">
      <c r="C792" s="95"/>
    </row>
    <row r="793">
      <c r="C793" s="95"/>
    </row>
    <row r="794">
      <c r="C794" s="95"/>
    </row>
    <row r="795">
      <c r="C795" s="95"/>
    </row>
    <row r="796">
      <c r="C796" s="95"/>
    </row>
    <row r="797">
      <c r="C797" s="95"/>
    </row>
    <row r="798">
      <c r="C798" s="95"/>
    </row>
    <row r="799">
      <c r="C799" s="95"/>
    </row>
    <row r="800">
      <c r="C800" s="95"/>
    </row>
    <row r="801">
      <c r="C801" s="95"/>
    </row>
    <row r="802">
      <c r="C802" s="95"/>
    </row>
    <row r="803">
      <c r="C803" s="95"/>
    </row>
    <row r="804">
      <c r="C804" s="95"/>
    </row>
    <row r="805">
      <c r="C805" s="95"/>
    </row>
    <row r="806">
      <c r="C806" s="95"/>
    </row>
    <row r="807">
      <c r="C807" s="95"/>
    </row>
    <row r="808">
      <c r="C808" s="95"/>
    </row>
    <row r="809">
      <c r="C809" s="95"/>
    </row>
    <row r="810">
      <c r="C810" s="95"/>
    </row>
    <row r="811">
      <c r="C811" s="95"/>
    </row>
    <row r="812">
      <c r="C812" s="95"/>
    </row>
    <row r="813">
      <c r="C813" s="95"/>
    </row>
    <row r="814">
      <c r="C814" s="95"/>
    </row>
    <row r="815">
      <c r="C815" s="95"/>
    </row>
    <row r="816">
      <c r="C816" s="95"/>
    </row>
    <row r="817">
      <c r="C817" s="95"/>
    </row>
    <row r="818">
      <c r="C818" s="95"/>
    </row>
    <row r="819">
      <c r="C819" s="95"/>
    </row>
    <row r="820">
      <c r="C820" s="95"/>
    </row>
    <row r="821">
      <c r="C821" s="95"/>
    </row>
    <row r="822">
      <c r="C822" s="95"/>
    </row>
    <row r="823">
      <c r="C823" s="95"/>
    </row>
    <row r="824">
      <c r="C824" s="95"/>
    </row>
    <row r="825">
      <c r="C825" s="95"/>
    </row>
    <row r="826">
      <c r="C826" s="95"/>
    </row>
    <row r="827">
      <c r="C827" s="95"/>
    </row>
    <row r="828">
      <c r="C828" s="95"/>
    </row>
    <row r="829">
      <c r="C829" s="95"/>
    </row>
    <row r="830">
      <c r="C830" s="95"/>
    </row>
    <row r="831">
      <c r="C831" s="95"/>
    </row>
    <row r="832">
      <c r="C832" s="95"/>
    </row>
    <row r="833">
      <c r="C833" s="95"/>
    </row>
    <row r="834">
      <c r="C834" s="95"/>
    </row>
    <row r="835">
      <c r="C835" s="95"/>
    </row>
    <row r="836">
      <c r="C836" s="95"/>
    </row>
    <row r="837">
      <c r="C837" s="95"/>
    </row>
    <row r="838">
      <c r="C838" s="95"/>
    </row>
    <row r="839">
      <c r="C839" s="95"/>
    </row>
    <row r="840">
      <c r="C840" s="95"/>
    </row>
    <row r="841">
      <c r="C841" s="95"/>
    </row>
    <row r="842">
      <c r="C842" s="95"/>
    </row>
    <row r="843">
      <c r="C843" s="95"/>
    </row>
    <row r="844">
      <c r="C844" s="95"/>
    </row>
    <row r="845">
      <c r="C845" s="95"/>
    </row>
    <row r="846">
      <c r="C846" s="95"/>
    </row>
    <row r="847">
      <c r="C847" s="95"/>
    </row>
    <row r="848">
      <c r="C848" s="95"/>
    </row>
    <row r="849">
      <c r="C849" s="95"/>
    </row>
    <row r="850">
      <c r="C850" s="95"/>
    </row>
    <row r="851">
      <c r="C851" s="95"/>
    </row>
    <row r="852">
      <c r="C852" s="95"/>
    </row>
    <row r="853">
      <c r="C853" s="95"/>
    </row>
    <row r="854">
      <c r="C854" s="95"/>
    </row>
    <row r="855">
      <c r="C855" s="95"/>
    </row>
    <row r="856">
      <c r="C856" s="95"/>
    </row>
    <row r="857">
      <c r="C857" s="95"/>
    </row>
    <row r="858">
      <c r="C858" s="95"/>
    </row>
    <row r="859">
      <c r="C859" s="95"/>
    </row>
    <row r="860">
      <c r="C860" s="95"/>
    </row>
    <row r="861">
      <c r="C861" s="95"/>
    </row>
    <row r="862">
      <c r="C862" s="95"/>
    </row>
    <row r="863">
      <c r="C863" s="95"/>
    </row>
    <row r="864">
      <c r="C864" s="95"/>
    </row>
    <row r="865">
      <c r="C865" s="95"/>
    </row>
    <row r="866">
      <c r="C866" s="95"/>
    </row>
    <row r="867">
      <c r="C867" s="95"/>
    </row>
    <row r="868">
      <c r="C868" s="95"/>
    </row>
    <row r="869">
      <c r="C869" s="95"/>
    </row>
    <row r="870">
      <c r="C870" s="95"/>
    </row>
    <row r="871">
      <c r="C871" s="95"/>
    </row>
    <row r="872">
      <c r="C872" s="95"/>
    </row>
    <row r="873">
      <c r="C873" s="95"/>
    </row>
    <row r="874">
      <c r="C874" s="95"/>
    </row>
    <row r="875">
      <c r="C875" s="95"/>
    </row>
    <row r="876">
      <c r="C876" s="95"/>
    </row>
    <row r="877">
      <c r="C877" s="95"/>
    </row>
    <row r="878">
      <c r="C878" s="95"/>
    </row>
    <row r="879">
      <c r="C879" s="95"/>
    </row>
    <row r="880">
      <c r="C880" s="95"/>
    </row>
    <row r="881">
      <c r="C881" s="95"/>
    </row>
    <row r="882">
      <c r="C882" s="95"/>
    </row>
    <row r="883">
      <c r="C883" s="95"/>
    </row>
    <row r="884">
      <c r="C884" s="95"/>
    </row>
    <row r="885">
      <c r="C885" s="95"/>
    </row>
    <row r="886">
      <c r="C886" s="95"/>
    </row>
    <row r="887">
      <c r="C887" s="95"/>
    </row>
    <row r="888">
      <c r="C888" s="95"/>
    </row>
    <row r="889">
      <c r="C889" s="95"/>
    </row>
    <row r="890">
      <c r="C890" s="95"/>
    </row>
    <row r="891">
      <c r="C891" s="95"/>
    </row>
    <row r="892">
      <c r="C892" s="95"/>
    </row>
    <row r="893">
      <c r="C893" s="95"/>
    </row>
    <row r="894">
      <c r="C894" s="95"/>
    </row>
    <row r="895">
      <c r="C895" s="95"/>
    </row>
    <row r="896">
      <c r="C896" s="95"/>
    </row>
    <row r="897">
      <c r="C897" s="95"/>
    </row>
    <row r="898">
      <c r="C898" s="95"/>
    </row>
    <row r="899">
      <c r="C899" s="95"/>
    </row>
    <row r="900">
      <c r="C900" s="95"/>
    </row>
    <row r="901">
      <c r="C901" s="95"/>
    </row>
    <row r="902">
      <c r="C902" s="95"/>
    </row>
    <row r="903">
      <c r="C903" s="95"/>
    </row>
    <row r="904">
      <c r="C904" s="95"/>
    </row>
    <row r="905">
      <c r="C905" s="95"/>
    </row>
    <row r="906">
      <c r="C906" s="95"/>
    </row>
    <row r="907">
      <c r="C907" s="95"/>
    </row>
    <row r="908">
      <c r="C908" s="95"/>
    </row>
    <row r="909">
      <c r="C909" s="95"/>
    </row>
    <row r="910">
      <c r="C910" s="95"/>
    </row>
    <row r="911">
      <c r="C911" s="95"/>
    </row>
    <row r="912">
      <c r="C912" s="95"/>
    </row>
    <row r="913">
      <c r="C913" s="95"/>
    </row>
    <row r="914">
      <c r="C914" s="95"/>
    </row>
    <row r="915">
      <c r="C915" s="95"/>
    </row>
    <row r="916">
      <c r="C916" s="95"/>
    </row>
    <row r="917">
      <c r="C917" s="95"/>
    </row>
    <row r="918">
      <c r="C918" s="95"/>
    </row>
    <row r="919">
      <c r="C919" s="95"/>
    </row>
    <row r="920">
      <c r="C920" s="95"/>
    </row>
    <row r="921">
      <c r="C921" s="95"/>
    </row>
    <row r="922">
      <c r="C922" s="95"/>
    </row>
    <row r="923">
      <c r="C923" s="95"/>
    </row>
    <row r="924">
      <c r="C924" s="95"/>
    </row>
    <row r="925">
      <c r="C925" s="95"/>
    </row>
    <row r="926">
      <c r="C926" s="95"/>
    </row>
    <row r="927">
      <c r="C927" s="95"/>
    </row>
    <row r="928">
      <c r="C928" s="95"/>
    </row>
    <row r="929">
      <c r="C929" s="95"/>
    </row>
    <row r="930">
      <c r="C930" s="95"/>
    </row>
    <row r="931">
      <c r="C931" s="95"/>
    </row>
    <row r="932">
      <c r="C932" s="95"/>
    </row>
    <row r="933">
      <c r="C933" s="95"/>
    </row>
    <row r="934">
      <c r="C934" s="95"/>
    </row>
    <row r="935">
      <c r="C935" s="95"/>
    </row>
    <row r="936">
      <c r="C936" s="95"/>
    </row>
    <row r="937">
      <c r="C937" s="95"/>
    </row>
    <row r="938">
      <c r="C938" s="95"/>
    </row>
    <row r="939">
      <c r="C939" s="95"/>
    </row>
    <row r="940">
      <c r="C940" s="95"/>
    </row>
    <row r="941">
      <c r="C941" s="95"/>
    </row>
    <row r="942">
      <c r="C942" s="95"/>
    </row>
    <row r="943">
      <c r="C943" s="95"/>
    </row>
    <row r="944">
      <c r="C944" s="95"/>
    </row>
    <row r="945">
      <c r="C945" s="95"/>
    </row>
    <row r="946">
      <c r="C946" s="95"/>
    </row>
    <row r="947">
      <c r="C947" s="95"/>
    </row>
    <row r="948">
      <c r="C948" s="95"/>
    </row>
    <row r="949">
      <c r="C949" s="95"/>
    </row>
    <row r="950">
      <c r="C950" s="95"/>
    </row>
    <row r="951">
      <c r="C951" s="95"/>
    </row>
    <row r="952">
      <c r="C952" s="95"/>
    </row>
    <row r="953">
      <c r="C953" s="95"/>
    </row>
    <row r="954">
      <c r="C954" s="95"/>
    </row>
    <row r="955">
      <c r="C955" s="95"/>
    </row>
    <row r="956">
      <c r="C956" s="95"/>
    </row>
    <row r="957">
      <c r="C957" s="95"/>
    </row>
    <row r="958">
      <c r="C958" s="95"/>
    </row>
    <row r="959">
      <c r="C959" s="95"/>
    </row>
    <row r="960">
      <c r="C960" s="95"/>
    </row>
    <row r="961">
      <c r="C961" s="95"/>
    </row>
    <row r="962">
      <c r="C962" s="95"/>
    </row>
    <row r="963">
      <c r="C963" s="95"/>
    </row>
    <row r="964">
      <c r="C964" s="95"/>
    </row>
    <row r="965">
      <c r="C965" s="95"/>
    </row>
    <row r="966">
      <c r="C966" s="95"/>
    </row>
    <row r="967">
      <c r="C967" s="95"/>
    </row>
    <row r="968">
      <c r="C968" s="95"/>
    </row>
    <row r="969">
      <c r="C969" s="95"/>
    </row>
    <row r="970">
      <c r="C970" s="95"/>
    </row>
    <row r="971">
      <c r="C971" s="95"/>
    </row>
    <row r="972">
      <c r="C972" s="95"/>
    </row>
    <row r="973">
      <c r="C973" s="95"/>
    </row>
    <row r="974">
      <c r="C974" s="95"/>
    </row>
    <row r="975">
      <c r="C975" s="95"/>
    </row>
    <row r="976">
      <c r="C976" s="95"/>
    </row>
    <row r="977">
      <c r="C977" s="95"/>
    </row>
    <row r="978">
      <c r="C978" s="95"/>
    </row>
    <row r="979">
      <c r="C979" s="95"/>
    </row>
    <row r="980">
      <c r="C980" s="95"/>
    </row>
    <row r="981">
      <c r="C981" s="95"/>
    </row>
    <row r="982">
      <c r="C982" s="95"/>
    </row>
    <row r="983">
      <c r="C983" s="95"/>
    </row>
    <row r="984">
      <c r="C984" s="95"/>
    </row>
    <row r="985">
      <c r="C985" s="95"/>
    </row>
    <row r="986">
      <c r="C986" s="95"/>
    </row>
    <row r="987">
      <c r="C987" s="95"/>
    </row>
    <row r="988">
      <c r="C988" s="95"/>
    </row>
    <row r="989">
      <c r="C989" s="95"/>
    </row>
    <row r="990">
      <c r="C990" s="95"/>
    </row>
    <row r="991">
      <c r="C991" s="95"/>
    </row>
    <row r="992">
      <c r="C992" s="95"/>
    </row>
    <row r="993">
      <c r="C993" s="95"/>
    </row>
    <row r="994">
      <c r="C994" s="95"/>
    </row>
    <row r="995">
      <c r="C995" s="95"/>
    </row>
    <row r="996">
      <c r="C996" s="95"/>
    </row>
    <row r="997">
      <c r="C997" s="95"/>
    </row>
    <row r="998">
      <c r="C998" s="95"/>
    </row>
    <row r="999">
      <c r="C999" s="95"/>
    </row>
    <row r="1000">
      <c r="C1000" s="95"/>
    </row>
    <row r="1001">
      <c r="C1001" s="95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30.14"/>
  </cols>
  <sheetData>
    <row r="2">
      <c r="A2" s="96" t="s">
        <v>47</v>
      </c>
      <c r="B2" s="96" t="s">
        <v>85</v>
      </c>
      <c r="C2" s="96" t="s">
        <v>48</v>
      </c>
      <c r="D2" s="96" t="s">
        <v>49</v>
      </c>
      <c r="E2" s="97" t="s">
        <v>86</v>
      </c>
    </row>
    <row r="3">
      <c r="A3" s="15" t="s">
        <v>51</v>
      </c>
      <c r="B3" s="34">
        <v>2.0</v>
      </c>
      <c r="C3" s="98" t="s">
        <v>52</v>
      </c>
      <c r="D3" s="14">
        <f>'Ingredients Price'!C2</f>
        <v>176</v>
      </c>
      <c r="E3" s="99">
        <f t="shared" ref="E3:E4" si="1">B3*D3</f>
        <v>352</v>
      </c>
    </row>
    <row r="4">
      <c r="A4" s="100" t="s">
        <v>54</v>
      </c>
      <c r="B4" s="101">
        <v>2.0</v>
      </c>
      <c r="C4" s="102" t="s">
        <v>52</v>
      </c>
      <c r="D4" s="103">
        <f>'Ingredients Price'!C4</f>
        <v>208</v>
      </c>
      <c r="E4" s="104">
        <f t="shared" si="1"/>
        <v>416</v>
      </c>
    </row>
    <row r="5">
      <c r="A5" s="13" t="s">
        <v>87</v>
      </c>
      <c r="B5" s="34">
        <v>2.0</v>
      </c>
      <c r="C5" s="98" t="s">
        <v>52</v>
      </c>
      <c r="D5" s="105">
        <v>1825.0</v>
      </c>
      <c r="E5" s="106">
        <v>1825.0</v>
      </c>
    </row>
    <row r="6">
      <c r="A6" s="107" t="s">
        <v>88</v>
      </c>
      <c r="B6" s="101">
        <v>25.0</v>
      </c>
      <c r="C6" s="102" t="s">
        <v>89</v>
      </c>
      <c r="D6" s="107">
        <v>50.0</v>
      </c>
      <c r="E6" s="108">
        <v>50.0</v>
      </c>
    </row>
    <row r="7">
      <c r="A7" s="38" t="s">
        <v>90</v>
      </c>
      <c r="B7" s="34">
        <v>200.0</v>
      </c>
      <c r="C7" s="98" t="s">
        <v>89</v>
      </c>
      <c r="D7" s="13">
        <v>120.0</v>
      </c>
      <c r="E7" s="106">
        <v>120.0</v>
      </c>
    </row>
    <row r="8">
      <c r="A8" s="109" t="s">
        <v>91</v>
      </c>
      <c r="B8" s="101">
        <v>1.0</v>
      </c>
      <c r="C8" s="102" t="s">
        <v>92</v>
      </c>
      <c r="D8" s="110"/>
      <c r="E8" s="108">
        <v>50.0</v>
      </c>
    </row>
    <row r="9">
      <c r="A9" s="38" t="s">
        <v>93</v>
      </c>
      <c r="B9" s="34">
        <v>20.0</v>
      </c>
      <c r="C9" s="98" t="s">
        <v>89</v>
      </c>
      <c r="D9" s="111"/>
      <c r="E9" s="106">
        <v>50.0</v>
      </c>
    </row>
    <row r="10" ht="15.75" customHeight="1">
      <c r="A10" s="109" t="s">
        <v>94</v>
      </c>
      <c r="B10" s="101">
        <v>30.0</v>
      </c>
      <c r="C10" s="112"/>
      <c r="D10" s="101">
        <v>29.0</v>
      </c>
      <c r="E10" s="104">
        <f>D10*B10</f>
        <v>870</v>
      </c>
    </row>
    <row r="11" ht="15.75" customHeight="1">
      <c r="A11" s="113" t="s">
        <v>95</v>
      </c>
      <c r="E11" s="114">
        <f>SUM(E3:E10)</f>
        <v>3733</v>
      </c>
    </row>
    <row r="12">
      <c r="A12" s="115" t="s">
        <v>96</v>
      </c>
      <c r="E12" s="116">
        <f>E11/7</f>
        <v>533.2857143</v>
      </c>
    </row>
    <row r="14">
      <c r="C14" s="117" t="s">
        <v>97</v>
      </c>
      <c r="D14" s="118"/>
      <c r="E14" s="119">
        <v>890.0</v>
      </c>
    </row>
  </sheetData>
  <mergeCells count="2">
    <mergeCell ref="A11:D11"/>
    <mergeCell ref="A12:D1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14"/>
    <col customWidth="1" min="2" max="2" width="11.71"/>
    <col customWidth="1" min="3" max="3" width="16.14"/>
    <col customWidth="1" min="4" max="4" width="17.0"/>
    <col customWidth="1" min="5" max="6" width="15.14"/>
    <col customWidth="1" min="7" max="7" width="8.71"/>
    <col customWidth="1" min="8" max="8" width="19.71"/>
    <col customWidth="1" min="9" max="9" width="15.86"/>
    <col customWidth="1" min="10" max="11" width="8.71"/>
    <col customWidth="1" min="12" max="12" width="14.0"/>
    <col customWidth="1" min="13" max="28" width="8.71"/>
  </cols>
  <sheetData>
    <row r="1">
      <c r="A1" s="120" t="s">
        <v>98</v>
      </c>
      <c r="B1" s="120" t="s">
        <v>7</v>
      </c>
      <c r="C1" s="121" t="s">
        <v>99</v>
      </c>
      <c r="D1" s="122" t="s">
        <v>100</v>
      </c>
      <c r="E1" s="123" t="s">
        <v>101</v>
      </c>
      <c r="F1" s="124" t="s">
        <v>102</v>
      </c>
      <c r="H1" s="125" t="s">
        <v>103</v>
      </c>
    </row>
    <row r="2">
      <c r="A2" s="88" t="s">
        <v>14</v>
      </c>
      <c r="B2" s="89">
        <f>'Bread Cost Calculator'!E9</f>
        <v>75.50714286</v>
      </c>
      <c r="C2" s="126">
        <v>39.0</v>
      </c>
      <c r="D2" s="127">
        <f t="shared" ref="D2:D16" si="1">B2 * (1 + C2 / 100)
</f>
        <v>104.9549286</v>
      </c>
      <c r="E2" s="128">
        <f>130-I2</f>
        <v>110</v>
      </c>
      <c r="F2" s="128">
        <v>130.0</v>
      </c>
      <c r="H2" s="23" t="s">
        <v>14</v>
      </c>
      <c r="I2" s="23">
        <v>20.0</v>
      </c>
    </row>
    <row r="3">
      <c r="A3" s="92" t="s">
        <v>16</v>
      </c>
      <c r="B3" s="89">
        <f>'Bread Cost Calculator'!E9</f>
        <v>75.50714286</v>
      </c>
      <c r="C3" s="126">
        <v>39.0</v>
      </c>
      <c r="D3" s="127">
        <f t="shared" si="1"/>
        <v>104.9549286</v>
      </c>
      <c r="E3" s="128">
        <f>150-I3</f>
        <v>145</v>
      </c>
      <c r="F3" s="128">
        <v>150.0</v>
      </c>
      <c r="H3" s="23" t="s">
        <v>104</v>
      </c>
      <c r="I3" s="23">
        <v>5.0</v>
      </c>
    </row>
    <row r="4">
      <c r="A4" s="92" t="s">
        <v>40</v>
      </c>
      <c r="B4" s="89">
        <f>'Bread Cost Calculator'!E9</f>
        <v>75.50714286</v>
      </c>
      <c r="C4" s="126">
        <v>39.0</v>
      </c>
      <c r="D4" s="127">
        <f t="shared" si="1"/>
        <v>104.9549286</v>
      </c>
      <c r="E4" s="128" t="s">
        <v>105</v>
      </c>
      <c r="F4" s="128">
        <v>110.0</v>
      </c>
    </row>
    <row r="5">
      <c r="A5" s="88" t="s">
        <v>18</v>
      </c>
      <c r="B5" s="89">
        <f>'Genaral Bun Cost Calculator'!D32</f>
        <v>19.21888989</v>
      </c>
      <c r="C5" s="126">
        <v>80.0</v>
      </c>
      <c r="D5" s="127">
        <f t="shared" si="1"/>
        <v>34.5940018</v>
      </c>
      <c r="E5" s="128">
        <f>60-I3</f>
        <v>55</v>
      </c>
      <c r="F5" s="128">
        <v>60.0</v>
      </c>
    </row>
    <row r="6">
      <c r="A6" s="88" t="s">
        <v>20</v>
      </c>
      <c r="B6" s="89">
        <f>'Genaral Bun Cost Calculator'!D14</f>
        <v>16.44114901</v>
      </c>
      <c r="C6" s="126">
        <v>55.0</v>
      </c>
      <c r="D6" s="127">
        <f t="shared" si="1"/>
        <v>25.48378097</v>
      </c>
      <c r="E6" s="128">
        <f>40-I3</f>
        <v>35</v>
      </c>
      <c r="F6" s="128">
        <v>40.0</v>
      </c>
    </row>
    <row r="7">
      <c r="A7" s="88" t="s">
        <v>22</v>
      </c>
      <c r="B7" s="89">
        <f>'Genaral Bun Cost Calculator'!D21</f>
        <v>20.01855655</v>
      </c>
      <c r="C7" s="126">
        <v>60.0</v>
      </c>
      <c r="D7" s="127">
        <f t="shared" si="1"/>
        <v>32.02969048</v>
      </c>
      <c r="E7" s="128">
        <f>50-I3</f>
        <v>45</v>
      </c>
      <c r="F7" s="128">
        <v>50.0</v>
      </c>
    </row>
    <row r="8">
      <c r="A8" s="92" t="s">
        <v>26</v>
      </c>
      <c r="B8" s="89">
        <f>'Genaral Bun Cost Calculator'!D40</f>
        <v>45.75972472</v>
      </c>
      <c r="C8" s="126">
        <v>170.0</v>
      </c>
      <c r="D8" s="127">
        <f t="shared" si="1"/>
        <v>123.5512567</v>
      </c>
      <c r="E8" s="128">
        <f>100-I3</f>
        <v>95</v>
      </c>
      <c r="F8" s="128">
        <v>100.0</v>
      </c>
    </row>
    <row r="9">
      <c r="A9" s="92" t="s">
        <v>28</v>
      </c>
      <c r="B9" s="89">
        <f>'Genaral Bun Cost Calculator'!D47</f>
        <v>32.26537253</v>
      </c>
      <c r="C9" s="126">
        <v>100.0</v>
      </c>
      <c r="D9" s="127">
        <f t="shared" si="1"/>
        <v>64.53074506</v>
      </c>
      <c r="E9" s="128">
        <f>80-I3</f>
        <v>75</v>
      </c>
      <c r="F9" s="128">
        <v>80.0</v>
      </c>
    </row>
    <row r="10">
      <c r="A10" s="92" t="s">
        <v>30</v>
      </c>
      <c r="B10" s="89">
        <f>'Bun Cost Calculator'!F19</f>
        <v>31.70217391</v>
      </c>
      <c r="C10" s="126">
        <v>50.0</v>
      </c>
      <c r="D10" s="127">
        <f t="shared" si="1"/>
        <v>47.55326087</v>
      </c>
      <c r="E10" s="128">
        <f>50-I3</f>
        <v>45</v>
      </c>
      <c r="F10" s="128">
        <v>50.0</v>
      </c>
    </row>
    <row r="11">
      <c r="A11" s="92" t="s">
        <v>32</v>
      </c>
      <c r="B11" s="89">
        <f>'Bun Cost Calculator'!D14 * 2</f>
        <v>36.18401268</v>
      </c>
      <c r="C11" s="126">
        <v>50.0</v>
      </c>
      <c r="D11" s="127">
        <f t="shared" si="1"/>
        <v>54.27601902</v>
      </c>
      <c r="E11" s="128">
        <f>60-I3</f>
        <v>55</v>
      </c>
      <c r="F11" s="128">
        <v>60.0</v>
      </c>
    </row>
    <row r="12">
      <c r="A12" s="92" t="s">
        <v>34</v>
      </c>
      <c r="B12" s="89">
        <f>'Wandu Cost Calculator'!D9</f>
        <v>23.786</v>
      </c>
      <c r="C12" s="126">
        <v>50.0</v>
      </c>
      <c r="D12" s="127">
        <f t="shared" si="1"/>
        <v>35.679</v>
      </c>
      <c r="E12" s="128">
        <f>50-I3</f>
        <v>45</v>
      </c>
      <c r="F12" s="128">
        <v>50.0</v>
      </c>
    </row>
    <row r="13">
      <c r="A13" s="92" t="s">
        <v>36</v>
      </c>
      <c r="B13" s="89">
        <f>'Wafers Cake Cost Calculator'!D14</f>
        <v>26.70904029</v>
      </c>
      <c r="C13" s="126">
        <v>50.0</v>
      </c>
      <c r="D13" s="129">
        <f t="shared" si="1"/>
        <v>40.06356044</v>
      </c>
      <c r="E13" s="128">
        <f>70-I3</f>
        <v>65</v>
      </c>
      <c r="F13" s="128">
        <v>70.0</v>
      </c>
    </row>
    <row r="14">
      <c r="A14" s="92" t="s">
        <v>24</v>
      </c>
      <c r="B14" s="89">
        <f>'Roast Bread Cost Calculator'!E9</f>
        <v>12.41292135</v>
      </c>
      <c r="C14" s="126">
        <v>80.0</v>
      </c>
      <c r="D14" s="129">
        <f t="shared" si="1"/>
        <v>22.34325843</v>
      </c>
      <c r="E14" s="128">
        <f>35-I3</f>
        <v>30</v>
      </c>
      <c r="F14" s="128">
        <v>35.0</v>
      </c>
    </row>
    <row r="15">
      <c r="A15" s="92" t="s">
        <v>35</v>
      </c>
      <c r="B15" s="130">
        <f>'Cup Cake Cost Calculator'!D9</f>
        <v>33.88571429</v>
      </c>
      <c r="C15" s="126">
        <v>100.0</v>
      </c>
      <c r="D15" s="131">
        <f t="shared" si="1"/>
        <v>67.77142857</v>
      </c>
      <c r="E15" s="128">
        <f>60-I3</f>
        <v>55</v>
      </c>
      <c r="F15" s="128">
        <v>60.0</v>
      </c>
    </row>
    <row r="16">
      <c r="A16" s="92" t="s">
        <v>39</v>
      </c>
      <c r="B16" s="89">
        <f>'Genaral Bun Cost Calculator'!D55</f>
        <v>57.82639138</v>
      </c>
      <c r="C16" s="126">
        <v>100.0</v>
      </c>
      <c r="D16" s="129">
        <f t="shared" si="1"/>
        <v>115.6527828</v>
      </c>
      <c r="E16" s="128">
        <f>90-I3</f>
        <v>85</v>
      </c>
      <c r="F16" s="128">
        <v>90.0</v>
      </c>
    </row>
    <row r="17">
      <c r="E17" s="95"/>
      <c r="F17" s="95"/>
    </row>
    <row r="18">
      <c r="E18" s="95"/>
      <c r="F18" s="95"/>
    </row>
    <row r="19">
      <c r="E19" s="95"/>
      <c r="F19" s="95"/>
    </row>
    <row r="20">
      <c r="E20" s="95"/>
      <c r="F20" s="95"/>
    </row>
    <row r="21">
      <c r="E21" s="95"/>
      <c r="F21" s="95"/>
    </row>
    <row r="22">
      <c r="E22" s="95"/>
      <c r="F22" s="95"/>
    </row>
    <row r="23" ht="15.75" customHeight="1">
      <c r="E23" s="95"/>
      <c r="F23" s="95"/>
    </row>
    <row r="24" ht="15.75" customHeight="1">
      <c r="E24" s="95"/>
      <c r="F24" s="95"/>
    </row>
    <row r="25" ht="15.75" customHeight="1">
      <c r="E25" s="95"/>
      <c r="F25" s="95"/>
    </row>
    <row r="26" ht="15.75" customHeight="1">
      <c r="E26" s="95"/>
      <c r="F26" s="95"/>
    </row>
    <row r="27" ht="15.75" customHeight="1">
      <c r="E27" s="95"/>
      <c r="F27" s="95"/>
    </row>
    <row r="28" ht="15.75" customHeight="1">
      <c r="E28" s="95"/>
      <c r="F28" s="95"/>
    </row>
    <row r="29" ht="15.75" customHeight="1">
      <c r="E29" s="95"/>
      <c r="F29" s="95"/>
    </row>
    <row r="30" ht="15.75" customHeight="1">
      <c r="E30" s="95"/>
      <c r="F30" s="95"/>
    </row>
    <row r="31" ht="15.75" customHeight="1">
      <c r="E31" s="95"/>
      <c r="F31" s="95"/>
    </row>
    <row r="32" ht="15.75" customHeight="1">
      <c r="E32" s="95"/>
      <c r="F32" s="95"/>
    </row>
    <row r="33" ht="15.75" customHeight="1">
      <c r="E33" s="95"/>
      <c r="F33" s="95"/>
    </row>
    <row r="34" ht="15.75" customHeight="1">
      <c r="E34" s="95"/>
      <c r="F34" s="95"/>
    </row>
    <row r="35" ht="15.75" customHeight="1">
      <c r="E35" s="95"/>
      <c r="F35" s="95"/>
    </row>
    <row r="36" ht="15.75" customHeight="1">
      <c r="E36" s="95"/>
      <c r="F36" s="95"/>
    </row>
    <row r="37" ht="15.75" customHeight="1">
      <c r="E37" s="95"/>
      <c r="F37" s="95"/>
    </row>
    <row r="38" ht="15.75" customHeight="1">
      <c r="E38" s="95"/>
      <c r="F38" s="95"/>
    </row>
    <row r="39" ht="15.75" customHeight="1">
      <c r="E39" s="95"/>
      <c r="F39" s="95"/>
    </row>
    <row r="40" ht="15.75" customHeight="1">
      <c r="E40" s="95"/>
      <c r="F40" s="95"/>
    </row>
    <row r="41" ht="15.75" customHeight="1">
      <c r="E41" s="95"/>
      <c r="F41" s="95"/>
    </row>
    <row r="42" ht="15.75" customHeight="1">
      <c r="E42" s="95"/>
      <c r="F42" s="95"/>
    </row>
    <row r="43" ht="15.75" customHeight="1">
      <c r="E43" s="95"/>
      <c r="F43" s="95"/>
    </row>
    <row r="44" ht="15.75" customHeight="1">
      <c r="E44" s="95"/>
      <c r="F44" s="95"/>
    </row>
    <row r="45" ht="15.75" customHeight="1">
      <c r="E45" s="95"/>
      <c r="F45" s="95"/>
    </row>
    <row r="46" ht="15.75" customHeight="1">
      <c r="E46" s="95"/>
      <c r="F46" s="95"/>
    </row>
    <row r="47" ht="15.75" customHeight="1">
      <c r="E47" s="95"/>
      <c r="F47" s="95"/>
    </row>
    <row r="48" ht="15.75" customHeight="1">
      <c r="E48" s="95"/>
      <c r="F48" s="95"/>
    </row>
    <row r="49" ht="15.75" customHeight="1">
      <c r="E49" s="95"/>
      <c r="F49" s="95"/>
    </row>
    <row r="50" ht="15.75" customHeight="1">
      <c r="E50" s="95"/>
      <c r="F50" s="95"/>
    </row>
    <row r="51" ht="15.75" customHeight="1">
      <c r="E51" s="95"/>
      <c r="F51" s="95"/>
    </row>
    <row r="52" ht="15.75" customHeight="1">
      <c r="E52" s="95"/>
      <c r="F52" s="95"/>
    </row>
    <row r="53" ht="15.75" customHeight="1">
      <c r="E53" s="95"/>
      <c r="F53" s="95"/>
    </row>
    <row r="54" ht="15.75" customHeight="1">
      <c r="E54" s="95"/>
      <c r="F54" s="95"/>
    </row>
    <row r="55" ht="15.75" customHeight="1">
      <c r="E55" s="95"/>
      <c r="F55" s="95"/>
    </row>
    <row r="56" ht="15.75" customHeight="1">
      <c r="E56" s="95"/>
      <c r="F56" s="95"/>
    </row>
    <row r="57" ht="15.75" customHeight="1">
      <c r="E57" s="95"/>
      <c r="F57" s="95"/>
    </row>
    <row r="58" ht="15.75" customHeight="1">
      <c r="E58" s="95"/>
      <c r="F58" s="95"/>
    </row>
    <row r="59" ht="15.75" customHeight="1">
      <c r="E59" s="95"/>
      <c r="F59" s="95"/>
    </row>
    <row r="60" ht="15.75" customHeight="1">
      <c r="E60" s="95"/>
      <c r="F60" s="95"/>
    </row>
    <row r="61" ht="15.75" customHeight="1">
      <c r="E61" s="95"/>
      <c r="F61" s="95"/>
    </row>
    <row r="62" ht="15.75" customHeight="1">
      <c r="E62" s="95"/>
      <c r="F62" s="95"/>
    </row>
    <row r="63" ht="15.75" customHeight="1">
      <c r="E63" s="95"/>
      <c r="F63" s="95"/>
    </row>
    <row r="64" ht="15.75" customHeight="1">
      <c r="E64" s="95"/>
      <c r="F64" s="95"/>
    </row>
    <row r="65" ht="15.75" customHeight="1">
      <c r="E65" s="95"/>
      <c r="F65" s="95"/>
    </row>
    <row r="66" ht="15.75" customHeight="1">
      <c r="E66" s="95"/>
      <c r="F66" s="95"/>
    </row>
    <row r="67" ht="15.75" customHeight="1">
      <c r="E67" s="95"/>
      <c r="F67" s="95"/>
    </row>
    <row r="68" ht="15.75" customHeight="1">
      <c r="E68" s="95"/>
      <c r="F68" s="95"/>
    </row>
    <row r="69" ht="15.75" customHeight="1">
      <c r="E69" s="95"/>
      <c r="F69" s="95"/>
    </row>
    <row r="70" ht="15.75" customHeight="1">
      <c r="E70" s="95"/>
      <c r="F70" s="95"/>
    </row>
    <row r="71" ht="15.75" customHeight="1">
      <c r="E71" s="95"/>
      <c r="F71" s="95"/>
    </row>
    <row r="72" ht="15.75" customHeight="1">
      <c r="E72" s="95"/>
      <c r="F72" s="95"/>
    </row>
    <row r="73" ht="15.75" customHeight="1">
      <c r="E73" s="95"/>
      <c r="F73" s="95"/>
    </row>
    <row r="74" ht="15.75" customHeight="1">
      <c r="E74" s="95"/>
      <c r="F74" s="95"/>
    </row>
    <row r="75" ht="15.75" customHeight="1">
      <c r="E75" s="95"/>
      <c r="F75" s="95"/>
    </row>
    <row r="76" ht="15.75" customHeight="1">
      <c r="E76" s="95"/>
      <c r="F76" s="95"/>
    </row>
    <row r="77" ht="15.75" customHeight="1">
      <c r="E77" s="95"/>
      <c r="F77" s="95"/>
    </row>
    <row r="78" ht="15.75" customHeight="1">
      <c r="E78" s="95"/>
      <c r="F78" s="95"/>
    </row>
    <row r="79" ht="15.75" customHeight="1">
      <c r="E79" s="95"/>
      <c r="F79" s="95"/>
    </row>
    <row r="80" ht="15.75" customHeight="1">
      <c r="E80" s="95"/>
      <c r="F80" s="95"/>
    </row>
    <row r="81" ht="15.75" customHeight="1">
      <c r="E81" s="95"/>
      <c r="F81" s="95"/>
    </row>
    <row r="82" ht="15.75" customHeight="1">
      <c r="E82" s="95"/>
      <c r="F82" s="95"/>
    </row>
    <row r="83" ht="15.75" customHeight="1">
      <c r="E83" s="95"/>
      <c r="F83" s="95"/>
    </row>
    <row r="84" ht="15.75" customHeight="1">
      <c r="E84" s="95"/>
      <c r="F84" s="95"/>
    </row>
    <row r="85" ht="15.75" customHeight="1">
      <c r="E85" s="95"/>
      <c r="F85" s="95"/>
    </row>
    <row r="86" ht="15.75" customHeight="1">
      <c r="E86" s="95"/>
      <c r="F86" s="95"/>
    </row>
    <row r="87" ht="15.75" customHeight="1">
      <c r="E87" s="95"/>
      <c r="F87" s="95"/>
    </row>
    <row r="88" ht="15.75" customHeight="1">
      <c r="E88" s="95"/>
      <c r="F88" s="95"/>
    </row>
    <row r="89" ht="15.75" customHeight="1">
      <c r="E89" s="95"/>
      <c r="F89" s="95"/>
    </row>
    <row r="90" ht="15.75" customHeight="1">
      <c r="E90" s="95"/>
      <c r="F90" s="95"/>
    </row>
    <row r="91" ht="15.75" customHeight="1">
      <c r="E91" s="95"/>
      <c r="F91" s="95"/>
    </row>
    <row r="92" ht="15.75" customHeight="1">
      <c r="E92" s="95"/>
      <c r="F92" s="95"/>
    </row>
    <row r="93" ht="15.75" customHeight="1">
      <c r="E93" s="95"/>
      <c r="F93" s="95"/>
    </row>
    <row r="94" ht="15.75" customHeight="1">
      <c r="E94" s="95"/>
      <c r="F94" s="95"/>
    </row>
    <row r="95" ht="15.75" customHeight="1">
      <c r="E95" s="95"/>
      <c r="F95" s="95"/>
    </row>
    <row r="96" ht="15.75" customHeight="1">
      <c r="E96" s="95"/>
      <c r="F96" s="95"/>
    </row>
    <row r="97" ht="15.75" customHeight="1">
      <c r="E97" s="95"/>
      <c r="F97" s="95"/>
    </row>
    <row r="98" ht="15.75" customHeight="1">
      <c r="E98" s="95"/>
      <c r="F98" s="95"/>
    </row>
    <row r="99" ht="15.75" customHeight="1">
      <c r="E99" s="95"/>
      <c r="F99" s="95"/>
    </row>
    <row r="100" ht="15.75" customHeight="1">
      <c r="E100" s="95"/>
      <c r="F100" s="95"/>
    </row>
    <row r="101" ht="15.75" customHeight="1">
      <c r="E101" s="95"/>
      <c r="F101" s="95"/>
    </row>
    <row r="102" ht="15.75" customHeight="1">
      <c r="E102" s="95"/>
      <c r="F102" s="95"/>
    </row>
    <row r="103" ht="15.75" customHeight="1">
      <c r="E103" s="95"/>
      <c r="F103" s="95"/>
    </row>
    <row r="104" ht="15.75" customHeight="1">
      <c r="E104" s="95"/>
      <c r="F104" s="95"/>
    </row>
    <row r="105" ht="15.75" customHeight="1">
      <c r="E105" s="95"/>
      <c r="F105" s="95"/>
    </row>
    <row r="106" ht="15.75" customHeight="1">
      <c r="E106" s="95"/>
      <c r="F106" s="95"/>
    </row>
    <row r="107" ht="15.75" customHeight="1">
      <c r="E107" s="95"/>
      <c r="F107" s="95"/>
    </row>
    <row r="108" ht="15.75" customHeight="1">
      <c r="E108" s="95"/>
      <c r="F108" s="95"/>
    </row>
    <row r="109" ht="15.75" customHeight="1">
      <c r="E109" s="95"/>
      <c r="F109" s="95"/>
    </row>
    <row r="110" ht="15.75" customHeight="1">
      <c r="E110" s="95"/>
      <c r="F110" s="95"/>
    </row>
    <row r="111" ht="15.75" customHeight="1">
      <c r="E111" s="95"/>
      <c r="F111" s="95"/>
    </row>
    <row r="112" ht="15.75" customHeight="1">
      <c r="E112" s="95"/>
      <c r="F112" s="95"/>
    </row>
    <row r="113" ht="15.75" customHeight="1">
      <c r="E113" s="95"/>
      <c r="F113" s="95"/>
    </row>
    <row r="114" ht="15.75" customHeight="1">
      <c r="E114" s="95"/>
      <c r="F114" s="95"/>
    </row>
    <row r="115" ht="15.75" customHeight="1">
      <c r="E115" s="95"/>
      <c r="F115" s="95"/>
    </row>
    <row r="116" ht="15.75" customHeight="1">
      <c r="E116" s="95"/>
      <c r="F116" s="95"/>
    </row>
    <row r="117" ht="15.75" customHeight="1">
      <c r="E117" s="95"/>
      <c r="F117" s="95"/>
    </row>
    <row r="118" ht="15.75" customHeight="1">
      <c r="E118" s="95"/>
      <c r="F118" s="95"/>
    </row>
    <row r="119" ht="15.75" customHeight="1">
      <c r="E119" s="95"/>
      <c r="F119" s="95"/>
    </row>
    <row r="120" ht="15.75" customHeight="1">
      <c r="E120" s="95"/>
      <c r="F120" s="95"/>
    </row>
    <row r="121" ht="15.75" customHeight="1">
      <c r="E121" s="95"/>
      <c r="F121" s="95"/>
    </row>
    <row r="122" ht="15.75" customHeight="1">
      <c r="E122" s="95"/>
      <c r="F122" s="95"/>
    </row>
    <row r="123" ht="15.75" customHeight="1">
      <c r="E123" s="95"/>
      <c r="F123" s="95"/>
    </row>
    <row r="124" ht="15.75" customHeight="1">
      <c r="E124" s="95"/>
      <c r="F124" s="95"/>
    </row>
    <row r="125" ht="15.75" customHeight="1">
      <c r="E125" s="95"/>
      <c r="F125" s="95"/>
    </row>
    <row r="126" ht="15.75" customHeight="1">
      <c r="E126" s="95"/>
      <c r="F126" s="95"/>
    </row>
    <row r="127" ht="15.75" customHeight="1">
      <c r="E127" s="95"/>
      <c r="F127" s="95"/>
    </row>
    <row r="128" ht="15.75" customHeight="1">
      <c r="E128" s="95"/>
      <c r="F128" s="95"/>
    </row>
    <row r="129" ht="15.75" customHeight="1">
      <c r="E129" s="95"/>
      <c r="F129" s="95"/>
    </row>
    <row r="130" ht="15.75" customHeight="1">
      <c r="E130" s="95"/>
      <c r="F130" s="95"/>
    </row>
    <row r="131" ht="15.75" customHeight="1">
      <c r="E131" s="95"/>
      <c r="F131" s="95"/>
    </row>
    <row r="132" ht="15.75" customHeight="1">
      <c r="E132" s="95"/>
      <c r="F132" s="95"/>
    </row>
    <row r="133" ht="15.75" customHeight="1">
      <c r="E133" s="95"/>
      <c r="F133" s="95"/>
    </row>
    <row r="134" ht="15.75" customHeight="1">
      <c r="E134" s="95"/>
      <c r="F134" s="95"/>
    </row>
    <row r="135" ht="15.75" customHeight="1">
      <c r="E135" s="95"/>
      <c r="F135" s="95"/>
    </row>
    <row r="136" ht="15.75" customHeight="1">
      <c r="E136" s="95"/>
      <c r="F136" s="95"/>
    </row>
    <row r="137" ht="15.75" customHeight="1">
      <c r="E137" s="95"/>
      <c r="F137" s="95"/>
    </row>
    <row r="138" ht="15.75" customHeight="1">
      <c r="E138" s="95"/>
      <c r="F138" s="95"/>
    </row>
    <row r="139" ht="15.75" customHeight="1">
      <c r="E139" s="95"/>
      <c r="F139" s="95"/>
    </row>
    <row r="140" ht="15.75" customHeight="1">
      <c r="E140" s="95"/>
      <c r="F140" s="95"/>
    </row>
    <row r="141" ht="15.75" customHeight="1">
      <c r="E141" s="95"/>
      <c r="F141" s="95"/>
    </row>
    <row r="142" ht="15.75" customHeight="1">
      <c r="E142" s="95"/>
      <c r="F142" s="95"/>
    </row>
    <row r="143" ht="15.75" customHeight="1">
      <c r="E143" s="95"/>
      <c r="F143" s="95"/>
    </row>
    <row r="144" ht="15.75" customHeight="1">
      <c r="E144" s="95"/>
      <c r="F144" s="95"/>
    </row>
    <row r="145" ht="15.75" customHeight="1">
      <c r="E145" s="95"/>
      <c r="F145" s="95"/>
    </row>
    <row r="146" ht="15.75" customHeight="1">
      <c r="E146" s="95"/>
      <c r="F146" s="95"/>
    </row>
    <row r="147" ht="15.75" customHeight="1">
      <c r="E147" s="95"/>
      <c r="F147" s="95"/>
    </row>
    <row r="148" ht="15.75" customHeight="1">
      <c r="E148" s="95"/>
      <c r="F148" s="95"/>
    </row>
    <row r="149" ht="15.75" customHeight="1">
      <c r="E149" s="95"/>
      <c r="F149" s="95"/>
    </row>
    <row r="150" ht="15.75" customHeight="1">
      <c r="E150" s="95"/>
      <c r="F150" s="95"/>
    </row>
    <row r="151" ht="15.75" customHeight="1">
      <c r="E151" s="95"/>
      <c r="F151" s="95"/>
    </row>
    <row r="152" ht="15.75" customHeight="1">
      <c r="E152" s="95"/>
      <c r="F152" s="95"/>
    </row>
    <row r="153" ht="15.75" customHeight="1">
      <c r="E153" s="95"/>
      <c r="F153" s="95"/>
    </row>
    <row r="154" ht="15.75" customHeight="1">
      <c r="E154" s="95"/>
      <c r="F154" s="95"/>
    </row>
    <row r="155" ht="15.75" customHeight="1">
      <c r="E155" s="95"/>
      <c r="F155" s="95"/>
    </row>
    <row r="156" ht="15.75" customHeight="1">
      <c r="E156" s="95"/>
      <c r="F156" s="95"/>
    </row>
    <row r="157" ht="15.75" customHeight="1">
      <c r="E157" s="95"/>
      <c r="F157" s="95"/>
    </row>
    <row r="158" ht="15.75" customHeight="1">
      <c r="E158" s="95"/>
      <c r="F158" s="95"/>
    </row>
    <row r="159" ht="15.75" customHeight="1">
      <c r="E159" s="95"/>
      <c r="F159" s="95"/>
    </row>
    <row r="160" ht="15.75" customHeight="1">
      <c r="E160" s="95"/>
      <c r="F160" s="95"/>
    </row>
    <row r="161" ht="15.75" customHeight="1">
      <c r="E161" s="95"/>
      <c r="F161" s="95"/>
    </row>
    <row r="162" ht="15.75" customHeight="1">
      <c r="E162" s="95"/>
      <c r="F162" s="95"/>
    </row>
    <row r="163" ht="15.75" customHeight="1">
      <c r="E163" s="95"/>
      <c r="F163" s="95"/>
    </row>
    <row r="164" ht="15.75" customHeight="1">
      <c r="E164" s="95"/>
      <c r="F164" s="95"/>
    </row>
    <row r="165" ht="15.75" customHeight="1">
      <c r="E165" s="95"/>
      <c r="F165" s="95"/>
    </row>
    <row r="166" ht="15.75" customHeight="1">
      <c r="E166" s="95"/>
      <c r="F166" s="95"/>
    </row>
    <row r="167" ht="15.75" customHeight="1">
      <c r="E167" s="95"/>
      <c r="F167" s="95"/>
    </row>
    <row r="168" ht="15.75" customHeight="1">
      <c r="E168" s="95"/>
      <c r="F168" s="95"/>
    </row>
    <row r="169" ht="15.75" customHeight="1">
      <c r="E169" s="95"/>
      <c r="F169" s="95"/>
    </row>
    <row r="170" ht="15.75" customHeight="1">
      <c r="E170" s="95"/>
      <c r="F170" s="95"/>
    </row>
    <row r="171" ht="15.75" customHeight="1">
      <c r="E171" s="95"/>
      <c r="F171" s="95"/>
    </row>
    <row r="172" ht="15.75" customHeight="1">
      <c r="E172" s="95"/>
      <c r="F172" s="95"/>
    </row>
    <row r="173" ht="15.75" customHeight="1">
      <c r="E173" s="95"/>
      <c r="F173" s="95"/>
    </row>
    <row r="174" ht="15.75" customHeight="1">
      <c r="E174" s="95"/>
      <c r="F174" s="95"/>
    </row>
    <row r="175" ht="15.75" customHeight="1">
      <c r="E175" s="95"/>
      <c r="F175" s="95"/>
    </row>
    <row r="176" ht="15.75" customHeight="1">
      <c r="E176" s="95"/>
      <c r="F176" s="95"/>
    </row>
    <row r="177" ht="15.75" customHeight="1">
      <c r="E177" s="95"/>
      <c r="F177" s="95"/>
    </row>
    <row r="178" ht="15.75" customHeight="1">
      <c r="E178" s="95"/>
      <c r="F178" s="95"/>
    </row>
    <row r="179" ht="15.75" customHeight="1">
      <c r="E179" s="95"/>
      <c r="F179" s="95"/>
    </row>
    <row r="180" ht="15.75" customHeight="1">
      <c r="E180" s="95"/>
      <c r="F180" s="95"/>
    </row>
    <row r="181" ht="15.75" customHeight="1">
      <c r="E181" s="95"/>
      <c r="F181" s="95"/>
    </row>
    <row r="182" ht="15.75" customHeight="1">
      <c r="E182" s="95"/>
      <c r="F182" s="95"/>
    </row>
    <row r="183" ht="15.75" customHeight="1">
      <c r="E183" s="95"/>
      <c r="F183" s="95"/>
    </row>
    <row r="184" ht="15.75" customHeight="1">
      <c r="E184" s="95"/>
      <c r="F184" s="95"/>
    </row>
    <row r="185" ht="15.75" customHeight="1">
      <c r="E185" s="95"/>
      <c r="F185" s="95"/>
    </row>
    <row r="186" ht="15.75" customHeight="1">
      <c r="E186" s="95"/>
      <c r="F186" s="95"/>
    </row>
    <row r="187" ht="15.75" customHeight="1">
      <c r="E187" s="95"/>
      <c r="F187" s="95"/>
    </row>
    <row r="188" ht="15.75" customHeight="1">
      <c r="E188" s="95"/>
      <c r="F188" s="95"/>
    </row>
    <row r="189" ht="15.75" customHeight="1">
      <c r="E189" s="95"/>
      <c r="F189" s="95"/>
    </row>
    <row r="190" ht="15.75" customHeight="1">
      <c r="E190" s="95"/>
      <c r="F190" s="95"/>
    </row>
    <row r="191" ht="15.75" customHeight="1">
      <c r="E191" s="95"/>
      <c r="F191" s="95"/>
    </row>
    <row r="192" ht="15.75" customHeight="1">
      <c r="E192" s="95"/>
      <c r="F192" s="95"/>
    </row>
    <row r="193" ht="15.75" customHeight="1">
      <c r="E193" s="95"/>
      <c r="F193" s="95"/>
    </row>
    <row r="194" ht="15.75" customHeight="1">
      <c r="E194" s="95"/>
      <c r="F194" s="95"/>
    </row>
    <row r="195" ht="15.75" customHeight="1">
      <c r="E195" s="95"/>
      <c r="F195" s="95"/>
    </row>
    <row r="196" ht="15.75" customHeight="1">
      <c r="E196" s="95"/>
      <c r="F196" s="95"/>
    </row>
    <row r="197" ht="15.75" customHeight="1">
      <c r="E197" s="95"/>
      <c r="F197" s="95"/>
    </row>
    <row r="198" ht="15.75" customHeight="1">
      <c r="E198" s="95"/>
      <c r="F198" s="95"/>
    </row>
    <row r="199" ht="15.75" customHeight="1">
      <c r="E199" s="95"/>
      <c r="F199" s="95"/>
    </row>
    <row r="200" ht="15.75" customHeight="1">
      <c r="E200" s="95"/>
      <c r="F200" s="95"/>
    </row>
    <row r="201" ht="15.75" customHeight="1">
      <c r="E201" s="95"/>
      <c r="F201" s="95"/>
    </row>
    <row r="202" ht="15.75" customHeight="1">
      <c r="E202" s="95"/>
      <c r="F202" s="95"/>
    </row>
    <row r="203" ht="15.75" customHeight="1">
      <c r="E203" s="95"/>
      <c r="F203" s="95"/>
    </row>
    <row r="204" ht="15.75" customHeight="1">
      <c r="E204" s="95"/>
      <c r="F204" s="95"/>
    </row>
    <row r="205" ht="15.75" customHeight="1">
      <c r="E205" s="95"/>
      <c r="F205" s="95"/>
    </row>
    <row r="206" ht="15.75" customHeight="1">
      <c r="E206" s="95"/>
      <c r="F206" s="95"/>
    </row>
    <row r="207" ht="15.75" customHeight="1">
      <c r="E207" s="95"/>
      <c r="F207" s="95"/>
    </row>
    <row r="208" ht="15.75" customHeight="1">
      <c r="E208" s="95"/>
      <c r="F208" s="95"/>
    </row>
    <row r="209" ht="15.75" customHeight="1">
      <c r="E209" s="95"/>
      <c r="F209" s="95"/>
    </row>
    <row r="210" ht="15.75" customHeight="1">
      <c r="E210" s="95"/>
      <c r="F210" s="95"/>
    </row>
    <row r="211" ht="15.75" customHeight="1">
      <c r="E211" s="95"/>
      <c r="F211" s="95"/>
    </row>
    <row r="212" ht="15.75" customHeight="1">
      <c r="E212" s="95"/>
      <c r="F212" s="95"/>
    </row>
    <row r="213" ht="15.75" customHeight="1">
      <c r="E213" s="95"/>
      <c r="F213" s="95"/>
    </row>
    <row r="214" ht="15.75" customHeight="1">
      <c r="E214" s="95"/>
      <c r="F214" s="95"/>
    </row>
    <row r="215" ht="15.75" customHeight="1">
      <c r="E215" s="95"/>
      <c r="F215" s="95"/>
    </row>
    <row r="216" ht="15.75" customHeight="1">
      <c r="E216" s="95"/>
      <c r="F216" s="95"/>
    </row>
    <row r="217" ht="15.75" customHeight="1">
      <c r="E217" s="95"/>
      <c r="F217" s="95"/>
    </row>
    <row r="218" ht="15.75" customHeight="1">
      <c r="E218" s="95"/>
      <c r="F218" s="95"/>
    </row>
    <row r="219" ht="15.75" customHeight="1">
      <c r="E219" s="95"/>
      <c r="F219" s="95"/>
    </row>
    <row r="220" ht="15.75" customHeight="1">
      <c r="E220" s="95"/>
      <c r="F220" s="95"/>
    </row>
    <row r="221" ht="15.75" customHeight="1">
      <c r="E221" s="95"/>
      <c r="F221" s="95"/>
    </row>
    <row r="222" ht="15.75" customHeight="1">
      <c r="E222" s="95"/>
      <c r="F222" s="95"/>
    </row>
    <row r="223" ht="15.75" customHeight="1">
      <c r="E223" s="95"/>
      <c r="F223" s="95"/>
    </row>
    <row r="224" ht="15.75" customHeight="1">
      <c r="E224" s="95"/>
      <c r="F224" s="95"/>
    </row>
    <row r="225" ht="15.75" customHeight="1">
      <c r="E225" s="95"/>
      <c r="F225" s="95"/>
    </row>
    <row r="226" ht="15.75" customHeight="1">
      <c r="E226" s="95"/>
      <c r="F226" s="95"/>
    </row>
    <row r="227" ht="15.75" customHeight="1">
      <c r="E227" s="95"/>
      <c r="F227" s="95"/>
    </row>
    <row r="228" ht="15.75" customHeight="1">
      <c r="E228" s="95"/>
      <c r="F228" s="95"/>
    </row>
    <row r="229" ht="15.75" customHeight="1">
      <c r="E229" s="95"/>
      <c r="F229" s="95"/>
    </row>
    <row r="230" ht="15.75" customHeight="1">
      <c r="E230" s="95"/>
      <c r="F230" s="95"/>
    </row>
    <row r="231" ht="15.75" customHeight="1">
      <c r="E231" s="95"/>
      <c r="F231" s="95"/>
    </row>
    <row r="232" ht="15.75" customHeight="1">
      <c r="E232" s="95"/>
      <c r="F232" s="95"/>
    </row>
    <row r="233" ht="15.75" customHeight="1">
      <c r="E233" s="95"/>
      <c r="F233" s="95"/>
    </row>
    <row r="234" ht="15.75" customHeight="1">
      <c r="E234" s="95"/>
      <c r="F234" s="95"/>
    </row>
    <row r="235" ht="15.75" customHeight="1">
      <c r="E235" s="95"/>
      <c r="F235" s="95"/>
    </row>
    <row r="236" ht="15.75" customHeight="1">
      <c r="E236" s="95"/>
      <c r="F236" s="95"/>
    </row>
    <row r="237" ht="15.75" customHeight="1">
      <c r="E237" s="95"/>
      <c r="F237" s="95"/>
    </row>
    <row r="238" ht="15.75" customHeight="1">
      <c r="E238" s="95"/>
      <c r="F238" s="95"/>
    </row>
    <row r="239" ht="15.75" customHeight="1">
      <c r="E239" s="95"/>
      <c r="F239" s="95"/>
    </row>
    <row r="240" ht="15.75" customHeight="1">
      <c r="E240" s="95"/>
      <c r="F240" s="95"/>
    </row>
    <row r="241" ht="15.75" customHeight="1">
      <c r="E241" s="95"/>
      <c r="F241" s="95"/>
    </row>
    <row r="242" ht="15.75" customHeight="1">
      <c r="E242" s="95"/>
      <c r="F242" s="95"/>
    </row>
    <row r="243" ht="15.75" customHeight="1">
      <c r="E243" s="95"/>
      <c r="F243" s="95"/>
    </row>
    <row r="244" ht="15.75" customHeight="1">
      <c r="E244" s="95"/>
      <c r="F244" s="95"/>
    </row>
    <row r="245" ht="15.75" customHeight="1">
      <c r="E245" s="95"/>
      <c r="F245" s="95"/>
    </row>
    <row r="246" ht="15.75" customHeight="1">
      <c r="E246" s="95"/>
      <c r="F246" s="95"/>
    </row>
    <row r="247" ht="15.75" customHeight="1">
      <c r="E247" s="95"/>
      <c r="F247" s="95"/>
    </row>
    <row r="248" ht="15.75" customHeight="1">
      <c r="E248" s="95"/>
      <c r="F248" s="95"/>
    </row>
    <row r="249" ht="15.75" customHeight="1">
      <c r="E249" s="95"/>
      <c r="F249" s="95"/>
    </row>
    <row r="250" ht="15.75" customHeight="1">
      <c r="E250" s="95"/>
      <c r="F250" s="95"/>
    </row>
    <row r="251" ht="15.75" customHeight="1">
      <c r="E251" s="95"/>
      <c r="F251" s="95"/>
    </row>
    <row r="252" ht="15.75" customHeight="1">
      <c r="E252" s="95"/>
      <c r="F252" s="95"/>
    </row>
    <row r="253" ht="15.75" customHeight="1">
      <c r="E253" s="95"/>
      <c r="F253" s="95"/>
    </row>
    <row r="254" ht="15.75" customHeight="1">
      <c r="E254" s="95"/>
      <c r="F254" s="95"/>
    </row>
    <row r="255" ht="15.75" customHeight="1">
      <c r="E255" s="95"/>
      <c r="F255" s="95"/>
    </row>
    <row r="256" ht="15.75" customHeight="1">
      <c r="E256" s="95"/>
      <c r="F256" s="95"/>
    </row>
    <row r="257" ht="15.75" customHeight="1">
      <c r="E257" s="95"/>
      <c r="F257" s="95"/>
    </row>
    <row r="258" ht="15.75" customHeight="1">
      <c r="E258" s="95"/>
      <c r="F258" s="95"/>
    </row>
    <row r="259" ht="15.75" customHeight="1">
      <c r="E259" s="95"/>
      <c r="F259" s="95"/>
    </row>
    <row r="260" ht="15.75" customHeight="1">
      <c r="E260" s="95"/>
      <c r="F260" s="95"/>
    </row>
    <row r="261" ht="15.75" customHeight="1">
      <c r="E261" s="95"/>
      <c r="F261" s="95"/>
    </row>
    <row r="262" ht="15.75" customHeight="1">
      <c r="E262" s="95"/>
      <c r="F262" s="95"/>
    </row>
    <row r="263" ht="15.75" customHeight="1">
      <c r="E263" s="95"/>
      <c r="F263" s="95"/>
    </row>
    <row r="264" ht="15.75" customHeight="1">
      <c r="E264" s="95"/>
      <c r="F264" s="95"/>
    </row>
    <row r="265" ht="15.75" customHeight="1">
      <c r="E265" s="95"/>
      <c r="F265" s="95"/>
    </row>
    <row r="266" ht="15.75" customHeight="1">
      <c r="E266" s="95"/>
      <c r="F266" s="95"/>
    </row>
    <row r="267" ht="15.75" customHeight="1">
      <c r="E267" s="95"/>
      <c r="F267" s="95"/>
    </row>
    <row r="268" ht="15.75" customHeight="1">
      <c r="E268" s="95"/>
      <c r="F268" s="95"/>
    </row>
    <row r="269" ht="15.75" customHeight="1">
      <c r="E269" s="95"/>
      <c r="F269" s="95"/>
    </row>
    <row r="270" ht="15.75" customHeight="1">
      <c r="E270" s="95"/>
      <c r="F270" s="95"/>
    </row>
    <row r="271" ht="15.75" customHeight="1">
      <c r="E271" s="95"/>
      <c r="F271" s="95"/>
    </row>
    <row r="272" ht="15.75" customHeight="1">
      <c r="E272" s="95"/>
      <c r="F272" s="95"/>
    </row>
    <row r="273" ht="15.75" customHeight="1">
      <c r="E273" s="95"/>
      <c r="F273" s="95"/>
    </row>
    <row r="274" ht="15.75" customHeight="1">
      <c r="E274" s="95"/>
      <c r="F274" s="95"/>
    </row>
    <row r="275" ht="15.75" customHeight="1">
      <c r="E275" s="95"/>
      <c r="F275" s="95"/>
    </row>
    <row r="276" ht="15.75" customHeight="1">
      <c r="E276" s="95"/>
      <c r="F276" s="95"/>
    </row>
    <row r="277" ht="15.75" customHeight="1">
      <c r="E277" s="95"/>
      <c r="F277" s="95"/>
    </row>
    <row r="278" ht="15.75" customHeight="1">
      <c r="E278" s="95"/>
      <c r="F278" s="95"/>
    </row>
    <row r="279" ht="15.75" customHeight="1">
      <c r="E279" s="95"/>
      <c r="F279" s="95"/>
    </row>
    <row r="280" ht="15.75" customHeight="1">
      <c r="E280" s="95"/>
      <c r="F280" s="95"/>
    </row>
    <row r="281" ht="15.75" customHeight="1">
      <c r="E281" s="95"/>
      <c r="F281" s="95"/>
    </row>
    <row r="282" ht="15.75" customHeight="1">
      <c r="E282" s="95"/>
      <c r="F282" s="95"/>
    </row>
    <row r="283" ht="15.75" customHeight="1">
      <c r="E283" s="95"/>
      <c r="F283" s="95"/>
    </row>
    <row r="284" ht="15.75" customHeight="1">
      <c r="E284" s="95"/>
      <c r="F284" s="95"/>
    </row>
    <row r="285" ht="15.75" customHeight="1">
      <c r="E285" s="95"/>
      <c r="F285" s="95"/>
    </row>
    <row r="286" ht="15.75" customHeight="1">
      <c r="E286" s="95"/>
      <c r="F286" s="95"/>
    </row>
    <row r="287" ht="15.75" customHeight="1">
      <c r="E287" s="95"/>
      <c r="F287" s="95"/>
    </row>
    <row r="288" ht="15.75" customHeight="1">
      <c r="E288" s="95"/>
      <c r="F288" s="95"/>
    </row>
    <row r="289" ht="15.75" customHeight="1">
      <c r="E289" s="95"/>
      <c r="F289" s="95"/>
    </row>
    <row r="290" ht="15.75" customHeight="1">
      <c r="E290" s="95"/>
      <c r="F290" s="95"/>
    </row>
    <row r="291" ht="15.75" customHeight="1">
      <c r="E291" s="95"/>
      <c r="F291" s="95"/>
    </row>
    <row r="292" ht="15.75" customHeight="1">
      <c r="E292" s="95"/>
      <c r="F292" s="95"/>
    </row>
    <row r="293" ht="15.75" customHeight="1">
      <c r="E293" s="95"/>
      <c r="F293" s="95"/>
    </row>
    <row r="294" ht="15.75" customHeight="1">
      <c r="E294" s="95"/>
      <c r="F294" s="95"/>
    </row>
    <row r="295" ht="15.75" customHeight="1">
      <c r="E295" s="95"/>
      <c r="F295" s="95"/>
    </row>
    <row r="296" ht="15.75" customHeight="1">
      <c r="E296" s="95"/>
      <c r="F296" s="95"/>
    </row>
    <row r="297" ht="15.75" customHeight="1">
      <c r="E297" s="95"/>
      <c r="F297" s="95"/>
    </row>
    <row r="298" ht="15.75" customHeight="1">
      <c r="E298" s="95"/>
      <c r="F298" s="95"/>
    </row>
    <row r="299" ht="15.75" customHeight="1">
      <c r="E299" s="95"/>
      <c r="F299" s="95"/>
    </row>
    <row r="300" ht="15.75" customHeight="1">
      <c r="E300" s="95"/>
      <c r="F300" s="95"/>
    </row>
    <row r="301" ht="15.75" customHeight="1">
      <c r="E301" s="95"/>
      <c r="F301" s="95"/>
    </row>
    <row r="302" ht="15.75" customHeight="1">
      <c r="E302" s="95"/>
      <c r="F302" s="95"/>
    </row>
    <row r="303" ht="15.75" customHeight="1">
      <c r="E303" s="95"/>
      <c r="F303" s="95"/>
    </row>
    <row r="304" ht="15.75" customHeight="1">
      <c r="E304" s="95"/>
      <c r="F304" s="95"/>
    </row>
    <row r="305" ht="15.75" customHeight="1">
      <c r="E305" s="95"/>
      <c r="F305" s="95"/>
    </row>
    <row r="306" ht="15.75" customHeight="1">
      <c r="E306" s="95"/>
      <c r="F306" s="95"/>
    </row>
    <row r="307" ht="15.75" customHeight="1">
      <c r="E307" s="95"/>
      <c r="F307" s="95"/>
    </row>
    <row r="308" ht="15.75" customHeight="1">
      <c r="E308" s="95"/>
      <c r="F308" s="95"/>
    </row>
    <row r="309" ht="15.75" customHeight="1">
      <c r="E309" s="95"/>
      <c r="F309" s="95"/>
    </row>
    <row r="310" ht="15.75" customHeight="1">
      <c r="E310" s="95"/>
      <c r="F310" s="95"/>
    </row>
    <row r="311" ht="15.75" customHeight="1">
      <c r="E311" s="95"/>
      <c r="F311" s="95"/>
    </row>
    <row r="312" ht="15.75" customHeight="1">
      <c r="E312" s="95"/>
      <c r="F312" s="95"/>
    </row>
    <row r="313" ht="15.75" customHeight="1">
      <c r="E313" s="95"/>
      <c r="F313" s="95"/>
    </row>
    <row r="314" ht="15.75" customHeight="1">
      <c r="E314" s="95"/>
      <c r="F314" s="95"/>
    </row>
    <row r="315" ht="15.75" customHeight="1">
      <c r="E315" s="95"/>
      <c r="F315" s="95"/>
    </row>
    <row r="316" ht="15.75" customHeight="1">
      <c r="E316" s="95"/>
      <c r="F316" s="95"/>
    </row>
    <row r="317" ht="15.75" customHeight="1">
      <c r="E317" s="95"/>
      <c r="F317" s="95"/>
    </row>
    <row r="318" ht="15.75" customHeight="1">
      <c r="E318" s="95"/>
      <c r="F318" s="95"/>
    </row>
    <row r="319" ht="15.75" customHeight="1">
      <c r="E319" s="95"/>
      <c r="F319" s="95"/>
    </row>
    <row r="320" ht="15.75" customHeight="1">
      <c r="E320" s="95"/>
      <c r="F320" s="95"/>
    </row>
    <row r="321" ht="15.75" customHeight="1">
      <c r="E321" s="95"/>
      <c r="F321" s="95"/>
    </row>
    <row r="322" ht="15.75" customHeight="1">
      <c r="E322" s="95"/>
      <c r="F322" s="95"/>
    </row>
    <row r="323" ht="15.75" customHeight="1">
      <c r="E323" s="95"/>
      <c r="F323" s="95"/>
    </row>
    <row r="324" ht="15.75" customHeight="1">
      <c r="E324" s="95"/>
      <c r="F324" s="95"/>
    </row>
    <row r="325" ht="15.75" customHeight="1">
      <c r="E325" s="95"/>
      <c r="F325" s="95"/>
    </row>
    <row r="326" ht="15.75" customHeight="1">
      <c r="E326" s="95"/>
      <c r="F326" s="95"/>
    </row>
    <row r="327" ht="15.75" customHeight="1">
      <c r="E327" s="95"/>
      <c r="F327" s="95"/>
    </row>
    <row r="328" ht="15.75" customHeight="1">
      <c r="E328" s="95"/>
      <c r="F328" s="95"/>
    </row>
    <row r="329" ht="15.75" customHeight="1">
      <c r="E329" s="95"/>
      <c r="F329" s="95"/>
    </row>
    <row r="330" ht="15.75" customHeight="1">
      <c r="E330" s="95"/>
      <c r="F330" s="95"/>
    </row>
    <row r="331" ht="15.75" customHeight="1">
      <c r="E331" s="95"/>
      <c r="F331" s="95"/>
    </row>
    <row r="332" ht="15.75" customHeight="1">
      <c r="E332" s="95"/>
      <c r="F332" s="95"/>
    </row>
    <row r="333" ht="15.75" customHeight="1">
      <c r="E333" s="95"/>
      <c r="F333" s="95"/>
    </row>
    <row r="334" ht="15.75" customHeight="1">
      <c r="E334" s="95"/>
      <c r="F334" s="95"/>
    </row>
    <row r="335" ht="15.75" customHeight="1">
      <c r="E335" s="95"/>
      <c r="F335" s="95"/>
    </row>
    <row r="336" ht="15.75" customHeight="1">
      <c r="E336" s="95"/>
      <c r="F336" s="95"/>
    </row>
    <row r="337" ht="15.75" customHeight="1">
      <c r="E337" s="95"/>
      <c r="F337" s="95"/>
    </row>
    <row r="338" ht="15.75" customHeight="1">
      <c r="E338" s="95"/>
      <c r="F338" s="95"/>
    </row>
    <row r="339" ht="15.75" customHeight="1">
      <c r="E339" s="95"/>
      <c r="F339" s="95"/>
    </row>
    <row r="340" ht="15.75" customHeight="1">
      <c r="E340" s="95"/>
      <c r="F340" s="95"/>
    </row>
    <row r="341" ht="15.75" customHeight="1">
      <c r="E341" s="95"/>
      <c r="F341" s="95"/>
    </row>
    <row r="342" ht="15.75" customHeight="1">
      <c r="E342" s="95"/>
      <c r="F342" s="95"/>
    </row>
    <row r="343" ht="15.75" customHeight="1">
      <c r="E343" s="95"/>
      <c r="F343" s="95"/>
    </row>
    <row r="344" ht="15.75" customHeight="1">
      <c r="E344" s="95"/>
      <c r="F344" s="95"/>
    </row>
    <row r="345" ht="15.75" customHeight="1">
      <c r="E345" s="95"/>
      <c r="F345" s="95"/>
    </row>
    <row r="346" ht="15.75" customHeight="1">
      <c r="E346" s="95"/>
      <c r="F346" s="95"/>
    </row>
    <row r="347" ht="15.75" customHeight="1">
      <c r="E347" s="95"/>
      <c r="F347" s="95"/>
    </row>
    <row r="348" ht="15.75" customHeight="1">
      <c r="E348" s="95"/>
      <c r="F348" s="95"/>
    </row>
    <row r="349" ht="15.75" customHeight="1">
      <c r="E349" s="95"/>
      <c r="F349" s="95"/>
    </row>
    <row r="350" ht="15.75" customHeight="1">
      <c r="E350" s="95"/>
      <c r="F350" s="95"/>
    </row>
    <row r="351" ht="15.75" customHeight="1">
      <c r="E351" s="95"/>
      <c r="F351" s="95"/>
    </row>
    <row r="352" ht="15.75" customHeight="1">
      <c r="E352" s="95"/>
      <c r="F352" s="95"/>
    </row>
    <row r="353" ht="15.75" customHeight="1">
      <c r="E353" s="95"/>
      <c r="F353" s="95"/>
    </row>
    <row r="354" ht="15.75" customHeight="1">
      <c r="E354" s="95"/>
      <c r="F354" s="95"/>
    </row>
    <row r="355" ht="15.75" customHeight="1">
      <c r="E355" s="95"/>
      <c r="F355" s="95"/>
    </row>
    <row r="356" ht="15.75" customHeight="1">
      <c r="E356" s="95"/>
      <c r="F356" s="95"/>
    </row>
    <row r="357" ht="15.75" customHeight="1">
      <c r="E357" s="95"/>
      <c r="F357" s="95"/>
    </row>
    <row r="358" ht="15.75" customHeight="1">
      <c r="E358" s="95"/>
      <c r="F358" s="95"/>
    </row>
    <row r="359" ht="15.75" customHeight="1">
      <c r="E359" s="95"/>
      <c r="F359" s="95"/>
    </row>
    <row r="360" ht="15.75" customHeight="1">
      <c r="E360" s="95"/>
      <c r="F360" s="95"/>
    </row>
    <row r="361" ht="15.75" customHeight="1">
      <c r="E361" s="95"/>
      <c r="F361" s="95"/>
    </row>
    <row r="362" ht="15.75" customHeight="1">
      <c r="E362" s="95"/>
      <c r="F362" s="95"/>
    </row>
    <row r="363" ht="15.75" customHeight="1">
      <c r="E363" s="95"/>
      <c r="F363" s="95"/>
    </row>
    <row r="364" ht="15.75" customHeight="1">
      <c r="E364" s="95"/>
      <c r="F364" s="95"/>
    </row>
    <row r="365" ht="15.75" customHeight="1">
      <c r="E365" s="95"/>
      <c r="F365" s="95"/>
    </row>
    <row r="366" ht="15.75" customHeight="1">
      <c r="E366" s="95"/>
      <c r="F366" s="95"/>
    </row>
    <row r="367" ht="15.75" customHeight="1">
      <c r="E367" s="95"/>
      <c r="F367" s="95"/>
    </row>
    <row r="368" ht="15.75" customHeight="1">
      <c r="E368" s="95"/>
      <c r="F368" s="95"/>
    </row>
    <row r="369" ht="15.75" customHeight="1">
      <c r="E369" s="95"/>
      <c r="F369" s="95"/>
    </row>
    <row r="370" ht="15.75" customHeight="1">
      <c r="E370" s="95"/>
      <c r="F370" s="95"/>
    </row>
    <row r="371" ht="15.75" customHeight="1">
      <c r="E371" s="95"/>
      <c r="F371" s="95"/>
    </row>
    <row r="372" ht="15.75" customHeight="1">
      <c r="E372" s="95"/>
      <c r="F372" s="95"/>
    </row>
    <row r="373" ht="15.75" customHeight="1">
      <c r="E373" s="95"/>
      <c r="F373" s="95"/>
    </row>
    <row r="374" ht="15.75" customHeight="1">
      <c r="E374" s="95"/>
      <c r="F374" s="95"/>
    </row>
    <row r="375" ht="15.75" customHeight="1">
      <c r="E375" s="95"/>
      <c r="F375" s="95"/>
    </row>
    <row r="376" ht="15.75" customHeight="1">
      <c r="E376" s="95"/>
      <c r="F376" s="95"/>
    </row>
    <row r="377" ht="15.75" customHeight="1">
      <c r="E377" s="95"/>
      <c r="F377" s="95"/>
    </row>
    <row r="378" ht="15.75" customHeight="1">
      <c r="E378" s="95"/>
      <c r="F378" s="95"/>
    </row>
    <row r="379" ht="15.75" customHeight="1">
      <c r="E379" s="95"/>
      <c r="F379" s="95"/>
    </row>
    <row r="380" ht="15.75" customHeight="1">
      <c r="E380" s="95"/>
      <c r="F380" s="95"/>
    </row>
    <row r="381" ht="15.75" customHeight="1">
      <c r="E381" s="95"/>
      <c r="F381" s="95"/>
    </row>
    <row r="382" ht="15.75" customHeight="1">
      <c r="E382" s="95"/>
      <c r="F382" s="95"/>
    </row>
    <row r="383" ht="15.75" customHeight="1">
      <c r="E383" s="95"/>
      <c r="F383" s="95"/>
    </row>
    <row r="384" ht="15.75" customHeight="1">
      <c r="E384" s="95"/>
      <c r="F384" s="95"/>
    </row>
    <row r="385" ht="15.75" customHeight="1">
      <c r="E385" s="95"/>
      <c r="F385" s="95"/>
    </row>
    <row r="386" ht="15.75" customHeight="1">
      <c r="E386" s="95"/>
      <c r="F386" s="95"/>
    </row>
    <row r="387" ht="15.75" customHeight="1">
      <c r="E387" s="95"/>
      <c r="F387" s="95"/>
    </row>
    <row r="388" ht="15.75" customHeight="1">
      <c r="E388" s="95"/>
      <c r="F388" s="95"/>
    </row>
    <row r="389" ht="15.75" customHeight="1">
      <c r="E389" s="95"/>
      <c r="F389" s="95"/>
    </row>
    <row r="390" ht="15.75" customHeight="1">
      <c r="E390" s="95"/>
      <c r="F390" s="95"/>
    </row>
    <row r="391" ht="15.75" customHeight="1">
      <c r="E391" s="95"/>
      <c r="F391" s="95"/>
    </row>
    <row r="392" ht="15.75" customHeight="1">
      <c r="E392" s="95"/>
      <c r="F392" s="95"/>
    </row>
    <row r="393" ht="15.75" customHeight="1">
      <c r="E393" s="95"/>
      <c r="F393" s="95"/>
    </row>
    <row r="394" ht="15.75" customHeight="1">
      <c r="E394" s="95"/>
      <c r="F394" s="95"/>
    </row>
    <row r="395" ht="15.75" customHeight="1">
      <c r="E395" s="95"/>
      <c r="F395" s="95"/>
    </row>
    <row r="396" ht="15.75" customHeight="1">
      <c r="E396" s="95"/>
      <c r="F396" s="95"/>
    </row>
    <row r="397" ht="15.75" customHeight="1">
      <c r="E397" s="95"/>
      <c r="F397" s="95"/>
    </row>
    <row r="398" ht="15.75" customHeight="1">
      <c r="E398" s="95"/>
      <c r="F398" s="95"/>
    </row>
    <row r="399" ht="15.75" customHeight="1">
      <c r="E399" s="95"/>
      <c r="F399" s="95"/>
    </row>
    <row r="400" ht="15.75" customHeight="1">
      <c r="E400" s="95"/>
      <c r="F400" s="95"/>
    </row>
    <row r="401" ht="15.75" customHeight="1">
      <c r="E401" s="95"/>
      <c r="F401" s="95"/>
    </row>
    <row r="402" ht="15.75" customHeight="1">
      <c r="E402" s="95"/>
      <c r="F402" s="95"/>
    </row>
    <row r="403" ht="15.75" customHeight="1">
      <c r="E403" s="95"/>
      <c r="F403" s="95"/>
    </row>
    <row r="404" ht="15.75" customHeight="1">
      <c r="E404" s="95"/>
      <c r="F404" s="95"/>
    </row>
    <row r="405" ht="15.75" customHeight="1">
      <c r="E405" s="95"/>
      <c r="F405" s="95"/>
    </row>
    <row r="406" ht="15.75" customHeight="1">
      <c r="E406" s="95"/>
      <c r="F406" s="95"/>
    </row>
    <row r="407" ht="15.75" customHeight="1">
      <c r="E407" s="95"/>
      <c r="F407" s="95"/>
    </row>
    <row r="408" ht="15.75" customHeight="1">
      <c r="E408" s="95"/>
      <c r="F408" s="95"/>
    </row>
    <row r="409" ht="15.75" customHeight="1">
      <c r="E409" s="95"/>
      <c r="F409" s="95"/>
    </row>
    <row r="410" ht="15.75" customHeight="1">
      <c r="E410" s="95"/>
      <c r="F410" s="95"/>
    </row>
    <row r="411" ht="15.75" customHeight="1">
      <c r="E411" s="95"/>
      <c r="F411" s="95"/>
    </row>
    <row r="412" ht="15.75" customHeight="1">
      <c r="E412" s="95"/>
      <c r="F412" s="95"/>
    </row>
    <row r="413" ht="15.75" customHeight="1">
      <c r="E413" s="95"/>
      <c r="F413" s="95"/>
    </row>
    <row r="414" ht="15.75" customHeight="1">
      <c r="E414" s="95"/>
      <c r="F414" s="95"/>
    </row>
    <row r="415" ht="15.75" customHeight="1">
      <c r="E415" s="95"/>
      <c r="F415" s="95"/>
    </row>
    <row r="416" ht="15.75" customHeight="1">
      <c r="E416" s="95"/>
      <c r="F416" s="95"/>
    </row>
    <row r="417" ht="15.75" customHeight="1">
      <c r="E417" s="95"/>
      <c r="F417" s="95"/>
    </row>
    <row r="418" ht="15.75" customHeight="1">
      <c r="E418" s="95"/>
      <c r="F418" s="95"/>
    </row>
    <row r="419" ht="15.75" customHeight="1">
      <c r="E419" s="95"/>
      <c r="F419" s="95"/>
    </row>
    <row r="420" ht="15.75" customHeight="1">
      <c r="E420" s="95"/>
      <c r="F420" s="95"/>
    </row>
    <row r="421" ht="15.75" customHeight="1">
      <c r="E421" s="95"/>
      <c r="F421" s="95"/>
    </row>
    <row r="422" ht="15.75" customHeight="1">
      <c r="E422" s="95"/>
      <c r="F422" s="95"/>
    </row>
    <row r="423" ht="15.75" customHeight="1">
      <c r="E423" s="95"/>
      <c r="F423" s="95"/>
    </row>
    <row r="424" ht="15.75" customHeight="1">
      <c r="E424" s="95"/>
      <c r="F424" s="95"/>
    </row>
    <row r="425" ht="15.75" customHeight="1">
      <c r="E425" s="95"/>
      <c r="F425" s="95"/>
    </row>
    <row r="426" ht="15.75" customHeight="1">
      <c r="E426" s="95"/>
      <c r="F426" s="95"/>
    </row>
    <row r="427" ht="15.75" customHeight="1">
      <c r="E427" s="95"/>
      <c r="F427" s="95"/>
    </row>
    <row r="428" ht="15.75" customHeight="1">
      <c r="E428" s="95"/>
      <c r="F428" s="95"/>
    </row>
    <row r="429" ht="15.75" customHeight="1">
      <c r="E429" s="95"/>
      <c r="F429" s="95"/>
    </row>
    <row r="430" ht="15.75" customHeight="1">
      <c r="E430" s="95"/>
      <c r="F430" s="95"/>
    </row>
    <row r="431" ht="15.75" customHeight="1">
      <c r="E431" s="95"/>
      <c r="F431" s="95"/>
    </row>
    <row r="432" ht="15.75" customHeight="1">
      <c r="E432" s="95"/>
      <c r="F432" s="95"/>
    </row>
    <row r="433" ht="15.75" customHeight="1">
      <c r="E433" s="95"/>
      <c r="F433" s="95"/>
    </row>
    <row r="434" ht="15.75" customHeight="1">
      <c r="E434" s="95"/>
      <c r="F434" s="95"/>
    </row>
    <row r="435" ht="15.75" customHeight="1">
      <c r="E435" s="95"/>
      <c r="F435" s="95"/>
    </row>
    <row r="436" ht="15.75" customHeight="1">
      <c r="E436" s="95"/>
      <c r="F436" s="95"/>
    </row>
    <row r="437" ht="15.75" customHeight="1">
      <c r="E437" s="95"/>
      <c r="F437" s="95"/>
    </row>
    <row r="438" ht="15.75" customHeight="1">
      <c r="E438" s="95"/>
      <c r="F438" s="95"/>
    </row>
    <row r="439" ht="15.75" customHeight="1">
      <c r="E439" s="95"/>
      <c r="F439" s="95"/>
    </row>
    <row r="440" ht="15.75" customHeight="1">
      <c r="E440" s="95"/>
      <c r="F440" s="95"/>
    </row>
    <row r="441" ht="15.75" customHeight="1">
      <c r="E441" s="95"/>
      <c r="F441" s="95"/>
    </row>
    <row r="442" ht="15.75" customHeight="1">
      <c r="E442" s="95"/>
      <c r="F442" s="95"/>
    </row>
    <row r="443" ht="15.75" customHeight="1">
      <c r="E443" s="95"/>
      <c r="F443" s="95"/>
    </row>
    <row r="444" ht="15.75" customHeight="1">
      <c r="E444" s="95"/>
      <c r="F444" s="95"/>
    </row>
    <row r="445" ht="15.75" customHeight="1">
      <c r="E445" s="95"/>
      <c r="F445" s="95"/>
    </row>
    <row r="446" ht="15.75" customHeight="1">
      <c r="E446" s="95"/>
      <c r="F446" s="95"/>
    </row>
    <row r="447" ht="15.75" customHeight="1">
      <c r="E447" s="95"/>
      <c r="F447" s="95"/>
    </row>
    <row r="448" ht="15.75" customHeight="1">
      <c r="E448" s="95"/>
      <c r="F448" s="95"/>
    </row>
    <row r="449" ht="15.75" customHeight="1">
      <c r="E449" s="95"/>
      <c r="F449" s="95"/>
    </row>
    <row r="450" ht="15.75" customHeight="1">
      <c r="E450" s="95"/>
      <c r="F450" s="95"/>
    </row>
    <row r="451" ht="15.75" customHeight="1">
      <c r="E451" s="95"/>
      <c r="F451" s="95"/>
    </row>
    <row r="452" ht="15.75" customHeight="1">
      <c r="E452" s="95"/>
      <c r="F452" s="95"/>
    </row>
    <row r="453" ht="15.75" customHeight="1">
      <c r="E453" s="95"/>
      <c r="F453" s="95"/>
    </row>
    <row r="454" ht="15.75" customHeight="1">
      <c r="E454" s="95"/>
      <c r="F454" s="95"/>
    </row>
    <row r="455" ht="15.75" customHeight="1">
      <c r="E455" s="95"/>
      <c r="F455" s="95"/>
    </row>
    <row r="456" ht="15.75" customHeight="1">
      <c r="E456" s="95"/>
      <c r="F456" s="95"/>
    </row>
    <row r="457" ht="15.75" customHeight="1">
      <c r="E457" s="95"/>
      <c r="F457" s="95"/>
    </row>
    <row r="458" ht="15.75" customHeight="1">
      <c r="E458" s="95"/>
      <c r="F458" s="95"/>
    </row>
    <row r="459" ht="15.75" customHeight="1">
      <c r="E459" s="95"/>
      <c r="F459" s="95"/>
    </row>
    <row r="460" ht="15.75" customHeight="1">
      <c r="E460" s="95"/>
      <c r="F460" s="95"/>
    </row>
    <row r="461" ht="15.75" customHeight="1">
      <c r="E461" s="95"/>
      <c r="F461" s="95"/>
    </row>
    <row r="462" ht="15.75" customHeight="1">
      <c r="E462" s="95"/>
      <c r="F462" s="95"/>
    </row>
    <row r="463" ht="15.75" customHeight="1">
      <c r="E463" s="95"/>
      <c r="F463" s="95"/>
    </row>
    <row r="464" ht="15.75" customHeight="1">
      <c r="E464" s="95"/>
      <c r="F464" s="95"/>
    </row>
    <row r="465" ht="15.75" customHeight="1">
      <c r="E465" s="95"/>
      <c r="F465" s="95"/>
    </row>
    <row r="466" ht="15.75" customHeight="1">
      <c r="E466" s="95"/>
      <c r="F466" s="95"/>
    </row>
    <row r="467" ht="15.75" customHeight="1">
      <c r="E467" s="95"/>
      <c r="F467" s="95"/>
    </row>
    <row r="468" ht="15.75" customHeight="1">
      <c r="E468" s="95"/>
      <c r="F468" s="95"/>
    </row>
    <row r="469" ht="15.75" customHeight="1">
      <c r="E469" s="95"/>
      <c r="F469" s="95"/>
    </row>
    <row r="470" ht="15.75" customHeight="1">
      <c r="E470" s="95"/>
      <c r="F470" s="95"/>
    </row>
    <row r="471" ht="15.75" customHeight="1">
      <c r="E471" s="95"/>
      <c r="F471" s="95"/>
    </row>
    <row r="472" ht="15.75" customHeight="1">
      <c r="E472" s="95"/>
      <c r="F472" s="95"/>
    </row>
    <row r="473" ht="15.75" customHeight="1">
      <c r="E473" s="95"/>
      <c r="F473" s="95"/>
    </row>
    <row r="474" ht="15.75" customHeight="1">
      <c r="E474" s="95"/>
      <c r="F474" s="95"/>
    </row>
    <row r="475" ht="15.75" customHeight="1">
      <c r="E475" s="95"/>
      <c r="F475" s="95"/>
    </row>
    <row r="476" ht="15.75" customHeight="1">
      <c r="E476" s="95"/>
      <c r="F476" s="95"/>
    </row>
    <row r="477" ht="15.75" customHeight="1">
      <c r="E477" s="95"/>
      <c r="F477" s="95"/>
    </row>
    <row r="478" ht="15.75" customHeight="1">
      <c r="E478" s="95"/>
      <c r="F478" s="95"/>
    </row>
    <row r="479" ht="15.75" customHeight="1">
      <c r="E479" s="95"/>
      <c r="F479" s="95"/>
    </row>
    <row r="480" ht="15.75" customHeight="1">
      <c r="E480" s="95"/>
      <c r="F480" s="95"/>
    </row>
    <row r="481" ht="15.75" customHeight="1">
      <c r="E481" s="95"/>
      <c r="F481" s="95"/>
    </row>
    <row r="482" ht="15.75" customHeight="1">
      <c r="E482" s="95"/>
      <c r="F482" s="95"/>
    </row>
    <row r="483" ht="15.75" customHeight="1">
      <c r="E483" s="95"/>
      <c r="F483" s="95"/>
    </row>
    <row r="484" ht="15.75" customHeight="1">
      <c r="E484" s="95"/>
      <c r="F484" s="95"/>
    </row>
    <row r="485" ht="15.75" customHeight="1">
      <c r="E485" s="95"/>
      <c r="F485" s="95"/>
    </row>
    <row r="486" ht="15.75" customHeight="1">
      <c r="E486" s="95"/>
      <c r="F486" s="95"/>
    </row>
    <row r="487" ht="15.75" customHeight="1">
      <c r="E487" s="95"/>
      <c r="F487" s="95"/>
    </row>
    <row r="488" ht="15.75" customHeight="1">
      <c r="E488" s="95"/>
      <c r="F488" s="95"/>
    </row>
    <row r="489" ht="15.75" customHeight="1">
      <c r="E489" s="95"/>
      <c r="F489" s="95"/>
    </row>
    <row r="490" ht="15.75" customHeight="1">
      <c r="E490" s="95"/>
      <c r="F490" s="95"/>
    </row>
    <row r="491" ht="15.75" customHeight="1">
      <c r="E491" s="95"/>
      <c r="F491" s="95"/>
    </row>
    <row r="492" ht="15.75" customHeight="1">
      <c r="E492" s="95"/>
      <c r="F492" s="95"/>
    </row>
    <row r="493" ht="15.75" customHeight="1">
      <c r="E493" s="95"/>
      <c r="F493" s="95"/>
    </row>
    <row r="494" ht="15.75" customHeight="1">
      <c r="E494" s="95"/>
      <c r="F494" s="95"/>
    </row>
    <row r="495" ht="15.75" customHeight="1">
      <c r="E495" s="95"/>
      <c r="F495" s="95"/>
    </row>
    <row r="496" ht="15.75" customHeight="1">
      <c r="E496" s="95"/>
      <c r="F496" s="95"/>
    </row>
    <row r="497" ht="15.75" customHeight="1">
      <c r="E497" s="95"/>
      <c r="F497" s="95"/>
    </row>
    <row r="498" ht="15.75" customHeight="1">
      <c r="E498" s="95"/>
      <c r="F498" s="95"/>
    </row>
    <row r="499" ht="15.75" customHeight="1">
      <c r="E499" s="95"/>
      <c r="F499" s="95"/>
    </row>
    <row r="500" ht="15.75" customHeight="1">
      <c r="E500" s="95"/>
      <c r="F500" s="95"/>
    </row>
    <row r="501" ht="15.75" customHeight="1">
      <c r="E501" s="95"/>
      <c r="F501" s="95"/>
    </row>
    <row r="502" ht="15.75" customHeight="1">
      <c r="E502" s="95"/>
      <c r="F502" s="95"/>
    </row>
    <row r="503" ht="15.75" customHeight="1">
      <c r="E503" s="95"/>
      <c r="F503" s="95"/>
    </row>
    <row r="504" ht="15.75" customHeight="1">
      <c r="E504" s="95"/>
      <c r="F504" s="95"/>
    </row>
    <row r="505" ht="15.75" customHeight="1">
      <c r="E505" s="95"/>
      <c r="F505" s="95"/>
    </row>
    <row r="506" ht="15.75" customHeight="1">
      <c r="E506" s="95"/>
      <c r="F506" s="95"/>
    </row>
    <row r="507" ht="15.75" customHeight="1">
      <c r="E507" s="95"/>
      <c r="F507" s="95"/>
    </row>
    <row r="508" ht="15.75" customHeight="1">
      <c r="E508" s="95"/>
      <c r="F508" s="95"/>
    </row>
    <row r="509" ht="15.75" customHeight="1">
      <c r="E509" s="95"/>
      <c r="F509" s="95"/>
    </row>
    <row r="510" ht="15.75" customHeight="1">
      <c r="E510" s="95"/>
      <c r="F510" s="95"/>
    </row>
    <row r="511" ht="15.75" customHeight="1">
      <c r="E511" s="95"/>
      <c r="F511" s="95"/>
    </row>
    <row r="512" ht="15.75" customHeight="1">
      <c r="E512" s="95"/>
      <c r="F512" s="95"/>
    </row>
    <row r="513" ht="15.75" customHeight="1">
      <c r="E513" s="95"/>
      <c r="F513" s="95"/>
    </row>
    <row r="514" ht="15.75" customHeight="1">
      <c r="E514" s="95"/>
      <c r="F514" s="95"/>
    </row>
    <row r="515" ht="15.75" customHeight="1">
      <c r="E515" s="95"/>
      <c r="F515" s="95"/>
    </row>
    <row r="516" ht="15.75" customHeight="1">
      <c r="E516" s="95"/>
      <c r="F516" s="95"/>
    </row>
    <row r="517" ht="15.75" customHeight="1">
      <c r="E517" s="95"/>
      <c r="F517" s="95"/>
    </row>
    <row r="518" ht="15.75" customHeight="1">
      <c r="E518" s="95"/>
      <c r="F518" s="95"/>
    </row>
    <row r="519" ht="15.75" customHeight="1">
      <c r="E519" s="95"/>
      <c r="F519" s="95"/>
    </row>
    <row r="520" ht="15.75" customHeight="1">
      <c r="E520" s="95"/>
      <c r="F520" s="95"/>
    </row>
    <row r="521" ht="15.75" customHeight="1">
      <c r="E521" s="95"/>
      <c r="F521" s="95"/>
    </row>
    <row r="522" ht="15.75" customHeight="1">
      <c r="E522" s="95"/>
      <c r="F522" s="95"/>
    </row>
    <row r="523" ht="15.75" customHeight="1">
      <c r="E523" s="95"/>
      <c r="F523" s="95"/>
    </row>
    <row r="524" ht="15.75" customHeight="1">
      <c r="E524" s="95"/>
      <c r="F524" s="95"/>
    </row>
    <row r="525" ht="15.75" customHeight="1">
      <c r="E525" s="95"/>
      <c r="F525" s="95"/>
    </row>
    <row r="526" ht="15.75" customHeight="1">
      <c r="E526" s="95"/>
      <c r="F526" s="95"/>
    </row>
    <row r="527" ht="15.75" customHeight="1">
      <c r="E527" s="95"/>
      <c r="F527" s="95"/>
    </row>
    <row r="528" ht="15.75" customHeight="1">
      <c r="E528" s="95"/>
      <c r="F528" s="95"/>
    </row>
    <row r="529" ht="15.75" customHeight="1">
      <c r="E529" s="95"/>
      <c r="F529" s="95"/>
    </row>
    <row r="530" ht="15.75" customHeight="1">
      <c r="E530" s="95"/>
      <c r="F530" s="95"/>
    </row>
    <row r="531" ht="15.75" customHeight="1">
      <c r="E531" s="95"/>
      <c r="F531" s="95"/>
    </row>
    <row r="532" ht="15.75" customHeight="1">
      <c r="E532" s="95"/>
      <c r="F532" s="95"/>
    </row>
    <row r="533" ht="15.75" customHeight="1">
      <c r="E533" s="95"/>
      <c r="F533" s="95"/>
    </row>
    <row r="534" ht="15.75" customHeight="1">
      <c r="E534" s="95"/>
      <c r="F534" s="95"/>
    </row>
    <row r="535" ht="15.75" customHeight="1">
      <c r="E535" s="95"/>
      <c r="F535" s="95"/>
    </row>
    <row r="536" ht="15.75" customHeight="1">
      <c r="E536" s="95"/>
      <c r="F536" s="95"/>
    </row>
    <row r="537" ht="15.75" customHeight="1">
      <c r="E537" s="95"/>
      <c r="F537" s="95"/>
    </row>
    <row r="538" ht="15.75" customHeight="1">
      <c r="E538" s="95"/>
      <c r="F538" s="95"/>
    </row>
    <row r="539" ht="15.75" customHeight="1">
      <c r="E539" s="95"/>
      <c r="F539" s="95"/>
    </row>
    <row r="540" ht="15.75" customHeight="1">
      <c r="E540" s="95"/>
      <c r="F540" s="95"/>
    </row>
    <row r="541" ht="15.75" customHeight="1">
      <c r="E541" s="95"/>
      <c r="F541" s="95"/>
    </row>
    <row r="542" ht="15.75" customHeight="1">
      <c r="E542" s="95"/>
      <c r="F542" s="95"/>
    </row>
    <row r="543" ht="15.75" customHeight="1">
      <c r="E543" s="95"/>
      <c r="F543" s="95"/>
    </row>
    <row r="544" ht="15.75" customHeight="1">
      <c r="E544" s="95"/>
      <c r="F544" s="95"/>
    </row>
    <row r="545" ht="15.75" customHeight="1">
      <c r="E545" s="95"/>
      <c r="F545" s="95"/>
    </row>
    <row r="546" ht="15.75" customHeight="1">
      <c r="E546" s="95"/>
      <c r="F546" s="95"/>
    </row>
    <row r="547" ht="15.75" customHeight="1">
      <c r="E547" s="95"/>
      <c r="F547" s="95"/>
    </row>
    <row r="548" ht="15.75" customHeight="1">
      <c r="E548" s="95"/>
      <c r="F548" s="95"/>
    </row>
    <row r="549" ht="15.75" customHeight="1">
      <c r="E549" s="95"/>
      <c r="F549" s="95"/>
    </row>
    <row r="550" ht="15.75" customHeight="1">
      <c r="E550" s="95"/>
      <c r="F550" s="95"/>
    </row>
    <row r="551" ht="15.75" customHeight="1">
      <c r="E551" s="95"/>
      <c r="F551" s="95"/>
    </row>
    <row r="552" ht="15.75" customHeight="1">
      <c r="E552" s="95"/>
      <c r="F552" s="95"/>
    </row>
    <row r="553" ht="15.75" customHeight="1">
      <c r="E553" s="95"/>
      <c r="F553" s="95"/>
    </row>
    <row r="554" ht="15.75" customHeight="1">
      <c r="E554" s="95"/>
      <c r="F554" s="95"/>
    </row>
    <row r="555" ht="15.75" customHeight="1">
      <c r="E555" s="95"/>
      <c r="F555" s="95"/>
    </row>
    <row r="556" ht="15.75" customHeight="1">
      <c r="E556" s="95"/>
      <c r="F556" s="95"/>
    </row>
    <row r="557" ht="15.75" customHeight="1">
      <c r="E557" s="95"/>
      <c r="F557" s="95"/>
    </row>
    <row r="558" ht="15.75" customHeight="1">
      <c r="E558" s="95"/>
      <c r="F558" s="95"/>
    </row>
    <row r="559" ht="15.75" customHeight="1">
      <c r="E559" s="95"/>
      <c r="F559" s="95"/>
    </row>
    <row r="560" ht="15.75" customHeight="1">
      <c r="E560" s="95"/>
      <c r="F560" s="95"/>
    </row>
    <row r="561" ht="15.75" customHeight="1">
      <c r="E561" s="95"/>
      <c r="F561" s="95"/>
    </row>
    <row r="562" ht="15.75" customHeight="1">
      <c r="E562" s="95"/>
      <c r="F562" s="95"/>
    </row>
    <row r="563" ht="15.75" customHeight="1">
      <c r="E563" s="95"/>
      <c r="F563" s="95"/>
    </row>
    <row r="564" ht="15.75" customHeight="1">
      <c r="E564" s="95"/>
      <c r="F564" s="95"/>
    </row>
    <row r="565" ht="15.75" customHeight="1">
      <c r="E565" s="95"/>
      <c r="F565" s="95"/>
    </row>
    <row r="566" ht="15.75" customHeight="1">
      <c r="E566" s="95"/>
      <c r="F566" s="95"/>
    </row>
    <row r="567" ht="15.75" customHeight="1">
      <c r="E567" s="95"/>
      <c r="F567" s="95"/>
    </row>
    <row r="568" ht="15.75" customHeight="1">
      <c r="E568" s="95"/>
      <c r="F568" s="95"/>
    </row>
    <row r="569" ht="15.75" customHeight="1">
      <c r="E569" s="95"/>
      <c r="F569" s="95"/>
    </row>
    <row r="570" ht="15.75" customHeight="1">
      <c r="E570" s="95"/>
      <c r="F570" s="95"/>
    </row>
    <row r="571" ht="15.75" customHeight="1">
      <c r="E571" s="95"/>
      <c r="F571" s="95"/>
    </row>
    <row r="572" ht="15.75" customHeight="1">
      <c r="E572" s="95"/>
      <c r="F572" s="95"/>
    </row>
    <row r="573" ht="15.75" customHeight="1">
      <c r="E573" s="95"/>
      <c r="F573" s="95"/>
    </row>
    <row r="574" ht="15.75" customHeight="1">
      <c r="E574" s="95"/>
      <c r="F574" s="95"/>
    </row>
    <row r="575" ht="15.75" customHeight="1">
      <c r="E575" s="95"/>
      <c r="F575" s="95"/>
    </row>
    <row r="576" ht="15.75" customHeight="1">
      <c r="E576" s="95"/>
      <c r="F576" s="95"/>
    </row>
    <row r="577" ht="15.75" customHeight="1">
      <c r="E577" s="95"/>
      <c r="F577" s="95"/>
    </row>
    <row r="578" ht="15.75" customHeight="1">
      <c r="E578" s="95"/>
      <c r="F578" s="95"/>
    </row>
    <row r="579" ht="15.75" customHeight="1">
      <c r="E579" s="95"/>
      <c r="F579" s="95"/>
    </row>
    <row r="580" ht="15.75" customHeight="1">
      <c r="E580" s="95"/>
      <c r="F580" s="95"/>
    </row>
    <row r="581" ht="15.75" customHeight="1">
      <c r="E581" s="95"/>
      <c r="F581" s="95"/>
    </row>
    <row r="582" ht="15.75" customHeight="1">
      <c r="E582" s="95"/>
      <c r="F582" s="95"/>
    </row>
    <row r="583" ht="15.75" customHeight="1">
      <c r="E583" s="95"/>
      <c r="F583" s="95"/>
    </row>
    <row r="584" ht="15.75" customHeight="1">
      <c r="E584" s="95"/>
      <c r="F584" s="95"/>
    </row>
    <row r="585" ht="15.75" customHeight="1">
      <c r="E585" s="95"/>
      <c r="F585" s="95"/>
    </row>
    <row r="586" ht="15.75" customHeight="1">
      <c r="E586" s="95"/>
      <c r="F586" s="95"/>
    </row>
    <row r="587" ht="15.75" customHeight="1">
      <c r="E587" s="95"/>
      <c r="F587" s="95"/>
    </row>
    <row r="588" ht="15.75" customHeight="1">
      <c r="E588" s="95"/>
      <c r="F588" s="95"/>
    </row>
    <row r="589" ht="15.75" customHeight="1">
      <c r="E589" s="95"/>
      <c r="F589" s="95"/>
    </row>
    <row r="590" ht="15.75" customHeight="1">
      <c r="E590" s="95"/>
      <c r="F590" s="95"/>
    </row>
    <row r="591" ht="15.75" customHeight="1">
      <c r="E591" s="95"/>
      <c r="F591" s="95"/>
    </row>
    <row r="592" ht="15.75" customHeight="1">
      <c r="E592" s="95"/>
      <c r="F592" s="95"/>
    </row>
    <row r="593" ht="15.75" customHeight="1">
      <c r="E593" s="95"/>
      <c r="F593" s="95"/>
    </row>
    <row r="594" ht="15.75" customHeight="1">
      <c r="E594" s="95"/>
      <c r="F594" s="95"/>
    </row>
    <row r="595" ht="15.75" customHeight="1">
      <c r="E595" s="95"/>
      <c r="F595" s="95"/>
    </row>
    <row r="596" ht="15.75" customHeight="1">
      <c r="E596" s="95"/>
      <c r="F596" s="95"/>
    </row>
    <row r="597" ht="15.75" customHeight="1">
      <c r="E597" s="95"/>
      <c r="F597" s="95"/>
    </row>
    <row r="598" ht="15.75" customHeight="1">
      <c r="E598" s="95"/>
      <c r="F598" s="95"/>
    </row>
    <row r="599" ht="15.75" customHeight="1">
      <c r="E599" s="95"/>
      <c r="F599" s="95"/>
    </row>
    <row r="600" ht="15.75" customHeight="1">
      <c r="E600" s="95"/>
      <c r="F600" s="95"/>
    </row>
    <row r="601" ht="15.75" customHeight="1">
      <c r="E601" s="95"/>
      <c r="F601" s="95"/>
    </row>
    <row r="602" ht="15.75" customHeight="1">
      <c r="E602" s="95"/>
      <c r="F602" s="95"/>
    </row>
    <row r="603" ht="15.75" customHeight="1">
      <c r="E603" s="95"/>
      <c r="F603" s="95"/>
    </row>
    <row r="604" ht="15.75" customHeight="1">
      <c r="E604" s="95"/>
      <c r="F604" s="95"/>
    </row>
    <row r="605" ht="15.75" customHeight="1">
      <c r="E605" s="95"/>
      <c r="F605" s="95"/>
    </row>
    <row r="606" ht="15.75" customHeight="1">
      <c r="E606" s="95"/>
      <c r="F606" s="95"/>
    </row>
    <row r="607" ht="15.75" customHeight="1">
      <c r="E607" s="95"/>
      <c r="F607" s="95"/>
    </row>
    <row r="608" ht="15.75" customHeight="1">
      <c r="E608" s="95"/>
      <c r="F608" s="95"/>
    </row>
    <row r="609" ht="15.75" customHeight="1">
      <c r="E609" s="95"/>
      <c r="F609" s="95"/>
    </row>
    <row r="610" ht="15.75" customHeight="1">
      <c r="E610" s="95"/>
      <c r="F610" s="95"/>
    </row>
    <row r="611" ht="15.75" customHeight="1">
      <c r="E611" s="95"/>
      <c r="F611" s="95"/>
    </row>
    <row r="612" ht="15.75" customHeight="1">
      <c r="E612" s="95"/>
      <c r="F612" s="95"/>
    </row>
    <row r="613" ht="15.75" customHeight="1">
      <c r="E613" s="95"/>
      <c r="F613" s="95"/>
    </row>
    <row r="614" ht="15.75" customHeight="1">
      <c r="E614" s="95"/>
      <c r="F614" s="95"/>
    </row>
    <row r="615" ht="15.75" customHeight="1">
      <c r="E615" s="95"/>
      <c r="F615" s="95"/>
    </row>
    <row r="616" ht="15.75" customHeight="1">
      <c r="E616" s="95"/>
      <c r="F616" s="95"/>
    </row>
    <row r="617" ht="15.75" customHeight="1">
      <c r="E617" s="95"/>
      <c r="F617" s="95"/>
    </row>
    <row r="618" ht="15.75" customHeight="1">
      <c r="E618" s="95"/>
      <c r="F618" s="95"/>
    </row>
    <row r="619" ht="15.75" customHeight="1">
      <c r="E619" s="95"/>
      <c r="F619" s="95"/>
    </row>
    <row r="620" ht="15.75" customHeight="1">
      <c r="E620" s="95"/>
      <c r="F620" s="95"/>
    </row>
    <row r="621" ht="15.75" customHeight="1">
      <c r="E621" s="95"/>
      <c r="F621" s="95"/>
    </row>
    <row r="622" ht="15.75" customHeight="1">
      <c r="E622" s="95"/>
      <c r="F622" s="95"/>
    </row>
    <row r="623" ht="15.75" customHeight="1">
      <c r="E623" s="95"/>
      <c r="F623" s="95"/>
    </row>
    <row r="624" ht="15.75" customHeight="1">
      <c r="E624" s="95"/>
      <c r="F624" s="95"/>
    </row>
    <row r="625" ht="15.75" customHeight="1">
      <c r="E625" s="95"/>
      <c r="F625" s="95"/>
    </row>
    <row r="626" ht="15.75" customHeight="1">
      <c r="E626" s="95"/>
      <c r="F626" s="95"/>
    </row>
    <row r="627" ht="15.75" customHeight="1">
      <c r="E627" s="95"/>
      <c r="F627" s="95"/>
    </row>
    <row r="628" ht="15.75" customHeight="1">
      <c r="E628" s="95"/>
      <c r="F628" s="95"/>
    </row>
    <row r="629" ht="15.75" customHeight="1">
      <c r="E629" s="95"/>
      <c r="F629" s="95"/>
    </row>
    <row r="630" ht="15.75" customHeight="1">
      <c r="E630" s="95"/>
      <c r="F630" s="95"/>
    </row>
    <row r="631" ht="15.75" customHeight="1">
      <c r="E631" s="95"/>
      <c r="F631" s="95"/>
    </row>
    <row r="632" ht="15.75" customHeight="1">
      <c r="E632" s="95"/>
      <c r="F632" s="95"/>
    </row>
    <row r="633" ht="15.75" customHeight="1">
      <c r="E633" s="95"/>
      <c r="F633" s="95"/>
    </row>
    <row r="634" ht="15.75" customHeight="1">
      <c r="E634" s="95"/>
      <c r="F634" s="95"/>
    </row>
    <row r="635" ht="15.75" customHeight="1">
      <c r="E635" s="95"/>
      <c r="F635" s="95"/>
    </row>
    <row r="636" ht="15.75" customHeight="1">
      <c r="E636" s="95"/>
      <c r="F636" s="95"/>
    </row>
    <row r="637" ht="15.75" customHeight="1">
      <c r="E637" s="95"/>
      <c r="F637" s="95"/>
    </row>
    <row r="638" ht="15.75" customHeight="1">
      <c r="E638" s="95"/>
      <c r="F638" s="95"/>
    </row>
    <row r="639" ht="15.75" customHeight="1">
      <c r="E639" s="95"/>
      <c r="F639" s="95"/>
    </row>
    <row r="640" ht="15.75" customHeight="1">
      <c r="E640" s="95"/>
      <c r="F640" s="95"/>
    </row>
    <row r="641" ht="15.75" customHeight="1">
      <c r="E641" s="95"/>
      <c r="F641" s="95"/>
    </row>
    <row r="642" ht="15.75" customHeight="1">
      <c r="E642" s="95"/>
      <c r="F642" s="95"/>
    </row>
    <row r="643" ht="15.75" customHeight="1">
      <c r="E643" s="95"/>
      <c r="F643" s="95"/>
    </row>
    <row r="644" ht="15.75" customHeight="1">
      <c r="E644" s="95"/>
      <c r="F644" s="95"/>
    </row>
    <row r="645" ht="15.75" customHeight="1">
      <c r="E645" s="95"/>
      <c r="F645" s="95"/>
    </row>
    <row r="646" ht="15.75" customHeight="1">
      <c r="E646" s="95"/>
      <c r="F646" s="95"/>
    </row>
    <row r="647" ht="15.75" customHeight="1">
      <c r="E647" s="95"/>
      <c r="F647" s="95"/>
    </row>
    <row r="648" ht="15.75" customHeight="1">
      <c r="E648" s="95"/>
      <c r="F648" s="95"/>
    </row>
    <row r="649" ht="15.75" customHeight="1">
      <c r="E649" s="95"/>
      <c r="F649" s="95"/>
    </row>
    <row r="650" ht="15.75" customHeight="1">
      <c r="E650" s="95"/>
      <c r="F650" s="95"/>
    </row>
    <row r="651" ht="15.75" customHeight="1">
      <c r="E651" s="95"/>
      <c r="F651" s="95"/>
    </row>
    <row r="652" ht="15.75" customHeight="1">
      <c r="E652" s="95"/>
      <c r="F652" s="95"/>
    </row>
    <row r="653" ht="15.75" customHeight="1">
      <c r="E653" s="95"/>
      <c r="F653" s="95"/>
    </row>
    <row r="654" ht="15.75" customHeight="1">
      <c r="E654" s="95"/>
      <c r="F654" s="95"/>
    </row>
    <row r="655" ht="15.75" customHeight="1">
      <c r="E655" s="95"/>
      <c r="F655" s="95"/>
    </row>
    <row r="656" ht="15.75" customHeight="1">
      <c r="E656" s="95"/>
      <c r="F656" s="95"/>
    </row>
    <row r="657" ht="15.75" customHeight="1">
      <c r="E657" s="95"/>
      <c r="F657" s="95"/>
    </row>
    <row r="658" ht="15.75" customHeight="1">
      <c r="E658" s="95"/>
      <c r="F658" s="95"/>
    </row>
    <row r="659" ht="15.75" customHeight="1">
      <c r="E659" s="95"/>
      <c r="F659" s="95"/>
    </row>
    <row r="660" ht="15.75" customHeight="1">
      <c r="E660" s="95"/>
      <c r="F660" s="95"/>
    </row>
    <row r="661" ht="15.75" customHeight="1">
      <c r="E661" s="95"/>
      <c r="F661" s="95"/>
    </row>
    <row r="662" ht="15.75" customHeight="1">
      <c r="E662" s="95"/>
      <c r="F662" s="95"/>
    </row>
    <row r="663" ht="15.75" customHeight="1">
      <c r="E663" s="95"/>
      <c r="F663" s="95"/>
    </row>
    <row r="664" ht="15.75" customHeight="1">
      <c r="E664" s="95"/>
      <c r="F664" s="95"/>
    </row>
    <row r="665" ht="15.75" customHeight="1">
      <c r="E665" s="95"/>
      <c r="F665" s="95"/>
    </row>
    <row r="666" ht="15.75" customHeight="1">
      <c r="E666" s="95"/>
      <c r="F666" s="95"/>
    </row>
    <row r="667" ht="15.75" customHeight="1">
      <c r="E667" s="95"/>
      <c r="F667" s="95"/>
    </row>
    <row r="668" ht="15.75" customHeight="1">
      <c r="E668" s="95"/>
      <c r="F668" s="95"/>
    </row>
    <row r="669" ht="15.75" customHeight="1">
      <c r="E669" s="95"/>
      <c r="F669" s="95"/>
    </row>
    <row r="670" ht="15.75" customHeight="1">
      <c r="E670" s="95"/>
      <c r="F670" s="95"/>
    </row>
    <row r="671" ht="15.75" customHeight="1">
      <c r="E671" s="95"/>
      <c r="F671" s="95"/>
    </row>
    <row r="672" ht="15.75" customHeight="1">
      <c r="E672" s="95"/>
      <c r="F672" s="95"/>
    </row>
    <row r="673" ht="15.75" customHeight="1">
      <c r="E673" s="95"/>
      <c r="F673" s="95"/>
    </row>
    <row r="674" ht="15.75" customHeight="1">
      <c r="E674" s="95"/>
      <c r="F674" s="95"/>
    </row>
    <row r="675" ht="15.75" customHeight="1">
      <c r="E675" s="95"/>
      <c r="F675" s="95"/>
    </row>
    <row r="676" ht="15.75" customHeight="1">
      <c r="E676" s="95"/>
      <c r="F676" s="95"/>
    </row>
    <row r="677" ht="15.75" customHeight="1">
      <c r="E677" s="95"/>
      <c r="F677" s="95"/>
    </row>
    <row r="678" ht="15.75" customHeight="1">
      <c r="E678" s="95"/>
      <c r="F678" s="95"/>
    </row>
    <row r="679" ht="15.75" customHeight="1">
      <c r="E679" s="95"/>
      <c r="F679" s="95"/>
    </row>
    <row r="680" ht="15.75" customHeight="1">
      <c r="E680" s="95"/>
      <c r="F680" s="95"/>
    </row>
    <row r="681" ht="15.75" customHeight="1">
      <c r="E681" s="95"/>
      <c r="F681" s="95"/>
    </row>
    <row r="682" ht="15.75" customHeight="1">
      <c r="E682" s="95"/>
      <c r="F682" s="95"/>
    </row>
    <row r="683" ht="15.75" customHeight="1">
      <c r="E683" s="95"/>
      <c r="F683" s="95"/>
    </row>
    <row r="684" ht="15.75" customHeight="1">
      <c r="E684" s="95"/>
      <c r="F684" s="95"/>
    </row>
    <row r="685" ht="15.75" customHeight="1">
      <c r="E685" s="95"/>
      <c r="F685" s="95"/>
    </row>
    <row r="686" ht="15.75" customHeight="1">
      <c r="E686" s="95"/>
      <c r="F686" s="95"/>
    </row>
    <row r="687" ht="15.75" customHeight="1">
      <c r="E687" s="95"/>
      <c r="F687" s="95"/>
    </row>
    <row r="688" ht="15.75" customHeight="1">
      <c r="E688" s="95"/>
      <c r="F688" s="95"/>
    </row>
    <row r="689" ht="15.75" customHeight="1">
      <c r="E689" s="95"/>
      <c r="F689" s="95"/>
    </row>
    <row r="690" ht="15.75" customHeight="1">
      <c r="E690" s="95"/>
      <c r="F690" s="95"/>
    </row>
    <row r="691" ht="15.75" customHeight="1">
      <c r="E691" s="95"/>
      <c r="F691" s="95"/>
    </row>
    <row r="692" ht="15.75" customHeight="1">
      <c r="E692" s="95"/>
      <c r="F692" s="95"/>
    </row>
    <row r="693" ht="15.75" customHeight="1">
      <c r="E693" s="95"/>
      <c r="F693" s="95"/>
    </row>
    <row r="694" ht="15.75" customHeight="1">
      <c r="E694" s="95"/>
      <c r="F694" s="95"/>
    </row>
    <row r="695" ht="15.75" customHeight="1">
      <c r="E695" s="95"/>
      <c r="F695" s="95"/>
    </row>
    <row r="696" ht="15.75" customHeight="1">
      <c r="E696" s="95"/>
      <c r="F696" s="95"/>
    </row>
    <row r="697" ht="15.75" customHeight="1">
      <c r="E697" s="95"/>
      <c r="F697" s="95"/>
    </row>
    <row r="698" ht="15.75" customHeight="1">
      <c r="E698" s="95"/>
      <c r="F698" s="95"/>
    </row>
    <row r="699" ht="15.75" customHeight="1">
      <c r="E699" s="95"/>
      <c r="F699" s="95"/>
    </row>
    <row r="700" ht="15.75" customHeight="1">
      <c r="E700" s="95"/>
      <c r="F700" s="95"/>
    </row>
    <row r="701" ht="15.75" customHeight="1">
      <c r="E701" s="95"/>
      <c r="F701" s="95"/>
    </row>
    <row r="702" ht="15.75" customHeight="1">
      <c r="E702" s="95"/>
      <c r="F702" s="95"/>
    </row>
    <row r="703" ht="15.75" customHeight="1">
      <c r="E703" s="95"/>
      <c r="F703" s="95"/>
    </row>
    <row r="704" ht="15.75" customHeight="1">
      <c r="E704" s="95"/>
      <c r="F704" s="95"/>
    </row>
    <row r="705" ht="15.75" customHeight="1">
      <c r="E705" s="95"/>
      <c r="F705" s="95"/>
    </row>
    <row r="706" ht="15.75" customHeight="1">
      <c r="E706" s="95"/>
      <c r="F706" s="95"/>
    </row>
    <row r="707" ht="15.75" customHeight="1">
      <c r="E707" s="95"/>
      <c r="F707" s="95"/>
    </row>
    <row r="708" ht="15.75" customHeight="1">
      <c r="E708" s="95"/>
      <c r="F708" s="95"/>
    </row>
    <row r="709" ht="15.75" customHeight="1">
      <c r="E709" s="95"/>
      <c r="F709" s="95"/>
    </row>
    <row r="710" ht="15.75" customHeight="1">
      <c r="E710" s="95"/>
      <c r="F710" s="95"/>
    </row>
    <row r="711" ht="15.75" customHeight="1">
      <c r="E711" s="95"/>
      <c r="F711" s="95"/>
    </row>
    <row r="712" ht="15.75" customHeight="1">
      <c r="E712" s="95"/>
      <c r="F712" s="95"/>
    </row>
    <row r="713" ht="15.75" customHeight="1">
      <c r="E713" s="95"/>
      <c r="F713" s="95"/>
    </row>
    <row r="714" ht="15.75" customHeight="1">
      <c r="E714" s="95"/>
      <c r="F714" s="95"/>
    </row>
    <row r="715" ht="15.75" customHeight="1">
      <c r="E715" s="95"/>
      <c r="F715" s="95"/>
    </row>
    <row r="716" ht="15.75" customHeight="1">
      <c r="E716" s="95"/>
      <c r="F716" s="95"/>
    </row>
    <row r="717" ht="15.75" customHeight="1">
      <c r="E717" s="95"/>
      <c r="F717" s="95"/>
    </row>
    <row r="718" ht="15.75" customHeight="1">
      <c r="E718" s="95"/>
      <c r="F718" s="95"/>
    </row>
    <row r="719" ht="15.75" customHeight="1">
      <c r="E719" s="95"/>
      <c r="F719" s="95"/>
    </row>
    <row r="720" ht="15.75" customHeight="1">
      <c r="E720" s="95"/>
      <c r="F720" s="95"/>
    </row>
    <row r="721" ht="15.75" customHeight="1">
      <c r="E721" s="95"/>
      <c r="F721" s="95"/>
    </row>
    <row r="722" ht="15.75" customHeight="1">
      <c r="E722" s="95"/>
      <c r="F722" s="95"/>
    </row>
    <row r="723" ht="15.75" customHeight="1">
      <c r="E723" s="95"/>
      <c r="F723" s="95"/>
    </row>
    <row r="724" ht="15.75" customHeight="1">
      <c r="E724" s="95"/>
      <c r="F724" s="95"/>
    </row>
    <row r="725" ht="15.75" customHeight="1">
      <c r="E725" s="95"/>
      <c r="F725" s="95"/>
    </row>
    <row r="726" ht="15.75" customHeight="1">
      <c r="E726" s="95"/>
      <c r="F726" s="95"/>
    </row>
    <row r="727" ht="15.75" customHeight="1">
      <c r="E727" s="95"/>
      <c r="F727" s="95"/>
    </row>
    <row r="728" ht="15.75" customHeight="1">
      <c r="E728" s="95"/>
      <c r="F728" s="95"/>
    </row>
    <row r="729" ht="15.75" customHeight="1">
      <c r="E729" s="95"/>
      <c r="F729" s="95"/>
    </row>
    <row r="730" ht="15.75" customHeight="1">
      <c r="E730" s="95"/>
      <c r="F730" s="95"/>
    </row>
    <row r="731" ht="15.75" customHeight="1">
      <c r="E731" s="95"/>
      <c r="F731" s="95"/>
    </row>
    <row r="732" ht="15.75" customHeight="1">
      <c r="E732" s="95"/>
      <c r="F732" s="95"/>
    </row>
    <row r="733" ht="15.75" customHeight="1">
      <c r="E733" s="95"/>
      <c r="F733" s="95"/>
    </row>
    <row r="734" ht="15.75" customHeight="1">
      <c r="E734" s="95"/>
      <c r="F734" s="95"/>
    </row>
    <row r="735" ht="15.75" customHeight="1">
      <c r="E735" s="95"/>
      <c r="F735" s="95"/>
    </row>
    <row r="736" ht="15.75" customHeight="1">
      <c r="E736" s="95"/>
      <c r="F736" s="95"/>
    </row>
    <row r="737" ht="15.75" customHeight="1">
      <c r="E737" s="95"/>
      <c r="F737" s="95"/>
    </row>
    <row r="738" ht="15.75" customHeight="1">
      <c r="E738" s="95"/>
      <c r="F738" s="95"/>
    </row>
    <row r="739" ht="15.75" customHeight="1">
      <c r="E739" s="95"/>
      <c r="F739" s="95"/>
    </row>
    <row r="740" ht="15.75" customHeight="1">
      <c r="E740" s="95"/>
      <c r="F740" s="95"/>
    </row>
    <row r="741" ht="15.75" customHeight="1">
      <c r="E741" s="95"/>
      <c r="F741" s="95"/>
    </row>
    <row r="742" ht="15.75" customHeight="1">
      <c r="E742" s="95"/>
      <c r="F742" s="95"/>
    </row>
    <row r="743" ht="15.75" customHeight="1">
      <c r="E743" s="95"/>
      <c r="F743" s="95"/>
    </row>
    <row r="744" ht="15.75" customHeight="1">
      <c r="E744" s="95"/>
      <c r="F744" s="95"/>
    </row>
    <row r="745" ht="15.75" customHeight="1">
      <c r="E745" s="95"/>
      <c r="F745" s="95"/>
    </row>
    <row r="746" ht="15.75" customHeight="1">
      <c r="E746" s="95"/>
      <c r="F746" s="95"/>
    </row>
    <row r="747" ht="15.75" customHeight="1">
      <c r="E747" s="95"/>
      <c r="F747" s="95"/>
    </row>
    <row r="748" ht="15.75" customHeight="1">
      <c r="E748" s="95"/>
      <c r="F748" s="95"/>
    </row>
    <row r="749" ht="15.75" customHeight="1">
      <c r="E749" s="95"/>
      <c r="F749" s="95"/>
    </row>
    <row r="750" ht="15.75" customHeight="1">
      <c r="E750" s="95"/>
      <c r="F750" s="95"/>
    </row>
    <row r="751" ht="15.75" customHeight="1">
      <c r="E751" s="95"/>
      <c r="F751" s="95"/>
    </row>
    <row r="752" ht="15.75" customHeight="1">
      <c r="E752" s="95"/>
      <c r="F752" s="95"/>
    </row>
    <row r="753" ht="15.75" customHeight="1">
      <c r="E753" s="95"/>
      <c r="F753" s="95"/>
    </row>
    <row r="754" ht="15.75" customHeight="1">
      <c r="E754" s="95"/>
      <c r="F754" s="95"/>
    </row>
    <row r="755" ht="15.75" customHeight="1">
      <c r="E755" s="95"/>
      <c r="F755" s="95"/>
    </row>
    <row r="756" ht="15.75" customHeight="1">
      <c r="E756" s="95"/>
      <c r="F756" s="95"/>
    </row>
    <row r="757" ht="15.75" customHeight="1">
      <c r="E757" s="95"/>
      <c r="F757" s="95"/>
    </row>
    <row r="758" ht="15.75" customHeight="1">
      <c r="E758" s="95"/>
      <c r="F758" s="95"/>
    </row>
    <row r="759" ht="15.75" customHeight="1">
      <c r="E759" s="95"/>
      <c r="F759" s="95"/>
    </row>
    <row r="760" ht="15.75" customHeight="1">
      <c r="E760" s="95"/>
      <c r="F760" s="95"/>
    </row>
    <row r="761" ht="15.75" customHeight="1">
      <c r="E761" s="95"/>
      <c r="F761" s="95"/>
    </row>
    <row r="762" ht="15.75" customHeight="1">
      <c r="E762" s="95"/>
      <c r="F762" s="95"/>
    </row>
    <row r="763" ht="15.75" customHeight="1">
      <c r="E763" s="95"/>
      <c r="F763" s="95"/>
    </row>
    <row r="764" ht="15.75" customHeight="1">
      <c r="E764" s="95"/>
      <c r="F764" s="95"/>
    </row>
    <row r="765" ht="15.75" customHeight="1">
      <c r="E765" s="95"/>
      <c r="F765" s="95"/>
    </row>
    <row r="766" ht="15.75" customHeight="1">
      <c r="E766" s="95"/>
      <c r="F766" s="95"/>
    </row>
    <row r="767" ht="15.75" customHeight="1">
      <c r="E767" s="95"/>
      <c r="F767" s="95"/>
    </row>
    <row r="768" ht="15.75" customHeight="1">
      <c r="E768" s="95"/>
      <c r="F768" s="95"/>
    </row>
    <row r="769" ht="15.75" customHeight="1">
      <c r="E769" s="95"/>
      <c r="F769" s="95"/>
    </row>
    <row r="770" ht="15.75" customHeight="1">
      <c r="E770" s="95"/>
      <c r="F770" s="95"/>
    </row>
    <row r="771" ht="15.75" customHeight="1">
      <c r="E771" s="95"/>
      <c r="F771" s="95"/>
    </row>
    <row r="772" ht="15.75" customHeight="1">
      <c r="E772" s="95"/>
      <c r="F772" s="95"/>
    </row>
    <row r="773" ht="15.75" customHeight="1">
      <c r="E773" s="95"/>
      <c r="F773" s="95"/>
    </row>
    <row r="774" ht="15.75" customHeight="1">
      <c r="E774" s="95"/>
      <c r="F774" s="95"/>
    </row>
    <row r="775" ht="15.75" customHeight="1">
      <c r="E775" s="95"/>
      <c r="F775" s="95"/>
    </row>
    <row r="776" ht="15.75" customHeight="1">
      <c r="E776" s="95"/>
      <c r="F776" s="95"/>
    </row>
    <row r="777" ht="15.75" customHeight="1">
      <c r="E777" s="95"/>
      <c r="F777" s="95"/>
    </row>
    <row r="778" ht="15.75" customHeight="1">
      <c r="E778" s="95"/>
      <c r="F778" s="95"/>
    </row>
    <row r="779" ht="15.75" customHeight="1">
      <c r="E779" s="95"/>
      <c r="F779" s="95"/>
    </row>
    <row r="780" ht="15.75" customHeight="1">
      <c r="E780" s="95"/>
      <c r="F780" s="95"/>
    </row>
    <row r="781" ht="15.75" customHeight="1">
      <c r="E781" s="95"/>
      <c r="F781" s="95"/>
    </row>
    <row r="782" ht="15.75" customHeight="1">
      <c r="E782" s="95"/>
      <c r="F782" s="95"/>
    </row>
    <row r="783" ht="15.75" customHeight="1">
      <c r="E783" s="95"/>
      <c r="F783" s="95"/>
    </row>
    <row r="784" ht="15.75" customHeight="1">
      <c r="E784" s="95"/>
      <c r="F784" s="95"/>
    </row>
    <row r="785" ht="15.75" customHeight="1">
      <c r="E785" s="95"/>
      <c r="F785" s="95"/>
    </row>
    <row r="786" ht="15.75" customHeight="1">
      <c r="E786" s="95"/>
      <c r="F786" s="95"/>
    </row>
    <row r="787" ht="15.75" customHeight="1">
      <c r="E787" s="95"/>
      <c r="F787" s="95"/>
    </row>
    <row r="788" ht="15.75" customHeight="1">
      <c r="E788" s="95"/>
      <c r="F788" s="95"/>
    </row>
    <row r="789" ht="15.75" customHeight="1">
      <c r="E789" s="95"/>
      <c r="F789" s="95"/>
    </row>
    <row r="790" ht="15.75" customHeight="1">
      <c r="E790" s="95"/>
      <c r="F790" s="95"/>
    </row>
    <row r="791" ht="15.75" customHeight="1">
      <c r="E791" s="95"/>
      <c r="F791" s="95"/>
    </row>
    <row r="792" ht="15.75" customHeight="1">
      <c r="E792" s="95"/>
      <c r="F792" s="95"/>
    </row>
    <row r="793" ht="15.75" customHeight="1">
      <c r="E793" s="95"/>
      <c r="F793" s="95"/>
    </row>
    <row r="794" ht="15.75" customHeight="1">
      <c r="E794" s="95"/>
      <c r="F794" s="95"/>
    </row>
    <row r="795" ht="15.75" customHeight="1">
      <c r="E795" s="95"/>
      <c r="F795" s="95"/>
    </row>
    <row r="796" ht="15.75" customHeight="1">
      <c r="E796" s="95"/>
      <c r="F796" s="95"/>
    </row>
    <row r="797" ht="15.75" customHeight="1">
      <c r="E797" s="95"/>
      <c r="F797" s="95"/>
    </row>
    <row r="798" ht="15.75" customHeight="1">
      <c r="E798" s="95"/>
      <c r="F798" s="95"/>
    </row>
    <row r="799" ht="15.75" customHeight="1">
      <c r="E799" s="95"/>
      <c r="F799" s="95"/>
    </row>
    <row r="800" ht="15.75" customHeight="1">
      <c r="E800" s="95"/>
      <c r="F800" s="95"/>
    </row>
    <row r="801" ht="15.75" customHeight="1">
      <c r="E801" s="95"/>
      <c r="F801" s="95"/>
    </row>
    <row r="802" ht="15.75" customHeight="1">
      <c r="E802" s="95"/>
      <c r="F802" s="95"/>
    </row>
    <row r="803" ht="15.75" customHeight="1">
      <c r="E803" s="95"/>
      <c r="F803" s="95"/>
    </row>
    <row r="804" ht="15.75" customHeight="1">
      <c r="E804" s="95"/>
      <c r="F804" s="95"/>
    </row>
    <row r="805" ht="15.75" customHeight="1">
      <c r="E805" s="95"/>
      <c r="F805" s="95"/>
    </row>
    <row r="806" ht="15.75" customHeight="1">
      <c r="E806" s="95"/>
      <c r="F806" s="95"/>
    </row>
    <row r="807" ht="15.75" customHeight="1">
      <c r="E807" s="95"/>
      <c r="F807" s="95"/>
    </row>
    <row r="808" ht="15.75" customHeight="1">
      <c r="E808" s="95"/>
      <c r="F808" s="95"/>
    </row>
    <row r="809" ht="15.75" customHeight="1">
      <c r="E809" s="95"/>
      <c r="F809" s="95"/>
    </row>
    <row r="810" ht="15.75" customHeight="1">
      <c r="E810" s="95"/>
      <c r="F810" s="95"/>
    </row>
    <row r="811" ht="15.75" customHeight="1">
      <c r="E811" s="95"/>
      <c r="F811" s="95"/>
    </row>
    <row r="812" ht="15.75" customHeight="1">
      <c r="E812" s="95"/>
      <c r="F812" s="95"/>
    </row>
    <row r="813" ht="15.75" customHeight="1">
      <c r="E813" s="95"/>
      <c r="F813" s="95"/>
    </row>
    <row r="814" ht="15.75" customHeight="1">
      <c r="E814" s="95"/>
      <c r="F814" s="95"/>
    </row>
    <row r="815" ht="15.75" customHeight="1">
      <c r="E815" s="95"/>
      <c r="F815" s="95"/>
    </row>
    <row r="816" ht="15.75" customHeight="1">
      <c r="E816" s="95"/>
      <c r="F816" s="95"/>
    </row>
    <row r="817" ht="15.75" customHeight="1">
      <c r="E817" s="95"/>
      <c r="F817" s="95"/>
    </row>
    <row r="818" ht="15.75" customHeight="1">
      <c r="E818" s="95"/>
      <c r="F818" s="95"/>
    </row>
    <row r="819" ht="15.75" customHeight="1">
      <c r="E819" s="95"/>
      <c r="F819" s="95"/>
    </row>
    <row r="820" ht="15.75" customHeight="1">
      <c r="E820" s="95"/>
      <c r="F820" s="95"/>
    </row>
    <row r="821" ht="15.75" customHeight="1">
      <c r="E821" s="95"/>
      <c r="F821" s="95"/>
    </row>
    <row r="822" ht="15.75" customHeight="1">
      <c r="E822" s="95"/>
      <c r="F822" s="95"/>
    </row>
    <row r="823" ht="15.75" customHeight="1">
      <c r="E823" s="95"/>
      <c r="F823" s="95"/>
    </row>
    <row r="824" ht="15.75" customHeight="1">
      <c r="E824" s="95"/>
      <c r="F824" s="95"/>
    </row>
    <row r="825" ht="15.75" customHeight="1">
      <c r="E825" s="95"/>
      <c r="F825" s="95"/>
    </row>
    <row r="826" ht="15.75" customHeight="1">
      <c r="E826" s="95"/>
      <c r="F826" s="95"/>
    </row>
    <row r="827" ht="15.75" customHeight="1">
      <c r="E827" s="95"/>
      <c r="F827" s="95"/>
    </row>
    <row r="828" ht="15.75" customHeight="1">
      <c r="E828" s="95"/>
      <c r="F828" s="95"/>
    </row>
    <row r="829" ht="15.75" customHeight="1">
      <c r="E829" s="95"/>
      <c r="F829" s="95"/>
    </row>
    <row r="830" ht="15.75" customHeight="1">
      <c r="E830" s="95"/>
      <c r="F830" s="95"/>
    </row>
    <row r="831" ht="15.75" customHeight="1">
      <c r="E831" s="95"/>
      <c r="F831" s="95"/>
    </row>
    <row r="832" ht="15.75" customHeight="1">
      <c r="E832" s="95"/>
      <c r="F832" s="95"/>
    </row>
    <row r="833" ht="15.75" customHeight="1">
      <c r="E833" s="95"/>
      <c r="F833" s="95"/>
    </row>
    <row r="834" ht="15.75" customHeight="1">
      <c r="E834" s="95"/>
      <c r="F834" s="95"/>
    </row>
    <row r="835" ht="15.75" customHeight="1">
      <c r="E835" s="95"/>
      <c r="F835" s="95"/>
    </row>
    <row r="836" ht="15.75" customHeight="1">
      <c r="E836" s="95"/>
      <c r="F836" s="95"/>
    </row>
    <row r="837" ht="15.75" customHeight="1">
      <c r="E837" s="95"/>
      <c r="F837" s="95"/>
    </row>
    <row r="838" ht="15.75" customHeight="1">
      <c r="E838" s="95"/>
      <c r="F838" s="95"/>
    </row>
    <row r="839" ht="15.75" customHeight="1">
      <c r="E839" s="95"/>
      <c r="F839" s="95"/>
    </row>
    <row r="840" ht="15.75" customHeight="1">
      <c r="E840" s="95"/>
      <c r="F840" s="95"/>
    </row>
    <row r="841" ht="15.75" customHeight="1">
      <c r="E841" s="95"/>
      <c r="F841" s="95"/>
    </row>
    <row r="842" ht="15.75" customHeight="1">
      <c r="E842" s="95"/>
      <c r="F842" s="95"/>
    </row>
    <row r="843" ht="15.75" customHeight="1">
      <c r="E843" s="95"/>
      <c r="F843" s="95"/>
    </row>
    <row r="844" ht="15.75" customHeight="1">
      <c r="E844" s="95"/>
      <c r="F844" s="95"/>
    </row>
    <row r="845" ht="15.75" customHeight="1">
      <c r="E845" s="95"/>
      <c r="F845" s="95"/>
    </row>
    <row r="846" ht="15.75" customHeight="1">
      <c r="E846" s="95"/>
      <c r="F846" s="95"/>
    </row>
    <row r="847" ht="15.75" customHeight="1">
      <c r="E847" s="95"/>
      <c r="F847" s="95"/>
    </row>
    <row r="848" ht="15.75" customHeight="1">
      <c r="E848" s="95"/>
      <c r="F848" s="95"/>
    </row>
    <row r="849" ht="15.75" customHeight="1">
      <c r="E849" s="95"/>
      <c r="F849" s="95"/>
    </row>
    <row r="850" ht="15.75" customHeight="1">
      <c r="E850" s="95"/>
      <c r="F850" s="95"/>
    </row>
    <row r="851" ht="15.75" customHeight="1">
      <c r="E851" s="95"/>
      <c r="F851" s="95"/>
    </row>
    <row r="852" ht="15.75" customHeight="1">
      <c r="E852" s="95"/>
      <c r="F852" s="95"/>
    </row>
    <row r="853" ht="15.75" customHeight="1">
      <c r="E853" s="95"/>
      <c r="F853" s="95"/>
    </row>
    <row r="854" ht="15.75" customHeight="1">
      <c r="E854" s="95"/>
      <c r="F854" s="95"/>
    </row>
    <row r="855" ht="15.75" customHeight="1">
      <c r="E855" s="95"/>
      <c r="F855" s="95"/>
    </row>
    <row r="856" ht="15.75" customHeight="1">
      <c r="E856" s="95"/>
      <c r="F856" s="95"/>
    </row>
    <row r="857" ht="15.75" customHeight="1">
      <c r="E857" s="95"/>
      <c r="F857" s="95"/>
    </row>
    <row r="858" ht="15.75" customHeight="1">
      <c r="E858" s="95"/>
      <c r="F858" s="95"/>
    </row>
    <row r="859" ht="15.75" customHeight="1">
      <c r="E859" s="95"/>
      <c r="F859" s="95"/>
    </row>
    <row r="860" ht="15.75" customHeight="1">
      <c r="E860" s="95"/>
      <c r="F860" s="95"/>
    </row>
    <row r="861" ht="15.75" customHeight="1">
      <c r="E861" s="95"/>
      <c r="F861" s="95"/>
    </row>
    <row r="862" ht="15.75" customHeight="1">
      <c r="E862" s="95"/>
      <c r="F862" s="95"/>
    </row>
    <row r="863" ht="15.75" customHeight="1">
      <c r="E863" s="95"/>
      <c r="F863" s="95"/>
    </row>
    <row r="864" ht="15.75" customHeight="1">
      <c r="E864" s="95"/>
      <c r="F864" s="95"/>
    </row>
    <row r="865" ht="15.75" customHeight="1">
      <c r="E865" s="95"/>
      <c r="F865" s="95"/>
    </row>
    <row r="866" ht="15.75" customHeight="1">
      <c r="E866" s="95"/>
      <c r="F866" s="95"/>
    </row>
    <row r="867" ht="15.75" customHeight="1">
      <c r="E867" s="95"/>
      <c r="F867" s="95"/>
    </row>
    <row r="868" ht="15.75" customHeight="1">
      <c r="E868" s="95"/>
      <c r="F868" s="95"/>
    </row>
    <row r="869" ht="15.75" customHeight="1">
      <c r="E869" s="95"/>
      <c r="F869" s="95"/>
    </row>
    <row r="870" ht="15.75" customHeight="1">
      <c r="E870" s="95"/>
      <c r="F870" s="95"/>
    </row>
    <row r="871" ht="15.75" customHeight="1">
      <c r="E871" s="95"/>
      <c r="F871" s="95"/>
    </row>
    <row r="872" ht="15.75" customHeight="1">
      <c r="E872" s="95"/>
      <c r="F872" s="95"/>
    </row>
    <row r="873" ht="15.75" customHeight="1">
      <c r="E873" s="95"/>
      <c r="F873" s="95"/>
    </row>
    <row r="874" ht="15.75" customHeight="1">
      <c r="E874" s="95"/>
      <c r="F874" s="95"/>
    </row>
    <row r="875" ht="15.75" customHeight="1">
      <c r="E875" s="95"/>
      <c r="F875" s="95"/>
    </row>
    <row r="876" ht="15.75" customHeight="1">
      <c r="E876" s="95"/>
      <c r="F876" s="95"/>
    </row>
    <row r="877" ht="15.75" customHeight="1">
      <c r="E877" s="95"/>
      <c r="F877" s="95"/>
    </row>
    <row r="878" ht="15.75" customHeight="1">
      <c r="E878" s="95"/>
      <c r="F878" s="95"/>
    </row>
    <row r="879" ht="15.75" customHeight="1">
      <c r="E879" s="95"/>
      <c r="F879" s="95"/>
    </row>
    <row r="880" ht="15.75" customHeight="1">
      <c r="E880" s="95"/>
      <c r="F880" s="95"/>
    </row>
    <row r="881" ht="15.75" customHeight="1">
      <c r="E881" s="95"/>
      <c r="F881" s="95"/>
    </row>
    <row r="882" ht="15.75" customHeight="1">
      <c r="E882" s="95"/>
      <c r="F882" s="95"/>
    </row>
    <row r="883" ht="15.75" customHeight="1">
      <c r="E883" s="95"/>
      <c r="F883" s="95"/>
    </row>
    <row r="884" ht="15.75" customHeight="1">
      <c r="E884" s="95"/>
      <c r="F884" s="95"/>
    </row>
    <row r="885" ht="15.75" customHeight="1">
      <c r="E885" s="95"/>
      <c r="F885" s="95"/>
    </row>
    <row r="886" ht="15.75" customHeight="1">
      <c r="E886" s="95"/>
      <c r="F886" s="95"/>
    </row>
    <row r="887" ht="15.75" customHeight="1">
      <c r="E887" s="95"/>
      <c r="F887" s="95"/>
    </row>
    <row r="888" ht="15.75" customHeight="1">
      <c r="E888" s="95"/>
      <c r="F888" s="95"/>
    </row>
    <row r="889" ht="15.75" customHeight="1">
      <c r="E889" s="95"/>
      <c r="F889" s="95"/>
    </row>
    <row r="890" ht="15.75" customHeight="1">
      <c r="E890" s="95"/>
      <c r="F890" s="95"/>
    </row>
    <row r="891" ht="15.75" customHeight="1">
      <c r="E891" s="95"/>
      <c r="F891" s="95"/>
    </row>
    <row r="892" ht="15.75" customHeight="1">
      <c r="E892" s="95"/>
      <c r="F892" s="95"/>
    </row>
    <row r="893" ht="15.75" customHeight="1">
      <c r="E893" s="95"/>
      <c r="F893" s="95"/>
    </row>
    <row r="894" ht="15.75" customHeight="1">
      <c r="E894" s="95"/>
      <c r="F894" s="95"/>
    </row>
    <row r="895" ht="15.75" customHeight="1">
      <c r="E895" s="95"/>
      <c r="F895" s="95"/>
    </row>
    <row r="896" ht="15.75" customHeight="1">
      <c r="E896" s="95"/>
      <c r="F896" s="95"/>
    </row>
    <row r="897" ht="15.75" customHeight="1">
      <c r="E897" s="95"/>
      <c r="F897" s="95"/>
    </row>
    <row r="898" ht="15.75" customHeight="1">
      <c r="E898" s="95"/>
      <c r="F898" s="95"/>
    </row>
    <row r="899" ht="15.75" customHeight="1">
      <c r="E899" s="95"/>
      <c r="F899" s="95"/>
    </row>
    <row r="900" ht="15.75" customHeight="1">
      <c r="E900" s="95"/>
      <c r="F900" s="95"/>
    </row>
    <row r="901" ht="15.75" customHeight="1">
      <c r="E901" s="95"/>
      <c r="F901" s="95"/>
    </row>
    <row r="902" ht="15.75" customHeight="1">
      <c r="E902" s="95"/>
      <c r="F902" s="95"/>
    </row>
    <row r="903" ht="15.75" customHeight="1">
      <c r="E903" s="95"/>
      <c r="F903" s="95"/>
    </row>
    <row r="904" ht="15.75" customHeight="1">
      <c r="E904" s="95"/>
      <c r="F904" s="95"/>
    </row>
    <row r="905" ht="15.75" customHeight="1">
      <c r="E905" s="95"/>
      <c r="F905" s="95"/>
    </row>
    <row r="906" ht="15.75" customHeight="1">
      <c r="E906" s="95"/>
      <c r="F906" s="95"/>
    </row>
    <row r="907" ht="15.75" customHeight="1">
      <c r="E907" s="95"/>
      <c r="F907" s="95"/>
    </row>
    <row r="908" ht="15.75" customHeight="1">
      <c r="E908" s="95"/>
      <c r="F908" s="95"/>
    </row>
    <row r="909" ht="15.75" customHeight="1">
      <c r="E909" s="95"/>
      <c r="F909" s="95"/>
    </row>
    <row r="910" ht="15.75" customHeight="1">
      <c r="E910" s="95"/>
      <c r="F910" s="95"/>
    </row>
    <row r="911" ht="15.75" customHeight="1">
      <c r="E911" s="95"/>
      <c r="F911" s="95"/>
    </row>
    <row r="912" ht="15.75" customHeight="1">
      <c r="E912" s="95"/>
      <c r="F912" s="95"/>
    </row>
    <row r="913" ht="15.75" customHeight="1">
      <c r="E913" s="95"/>
      <c r="F913" s="95"/>
    </row>
    <row r="914" ht="15.75" customHeight="1">
      <c r="E914" s="95"/>
      <c r="F914" s="95"/>
    </row>
    <row r="915" ht="15.75" customHeight="1">
      <c r="E915" s="95"/>
      <c r="F915" s="95"/>
    </row>
    <row r="916" ht="15.75" customHeight="1">
      <c r="E916" s="95"/>
      <c r="F916" s="95"/>
    </row>
    <row r="917" ht="15.75" customHeight="1">
      <c r="E917" s="95"/>
      <c r="F917" s="95"/>
    </row>
    <row r="918" ht="15.75" customHeight="1">
      <c r="E918" s="95"/>
      <c r="F918" s="95"/>
    </row>
    <row r="919" ht="15.75" customHeight="1">
      <c r="E919" s="95"/>
      <c r="F919" s="95"/>
    </row>
    <row r="920" ht="15.75" customHeight="1">
      <c r="E920" s="95"/>
      <c r="F920" s="95"/>
    </row>
    <row r="921" ht="15.75" customHeight="1">
      <c r="E921" s="95"/>
      <c r="F921" s="95"/>
    </row>
    <row r="922" ht="15.75" customHeight="1">
      <c r="E922" s="95"/>
      <c r="F922" s="95"/>
    </row>
    <row r="923" ht="15.75" customHeight="1">
      <c r="E923" s="95"/>
      <c r="F923" s="95"/>
    </row>
    <row r="924" ht="15.75" customHeight="1">
      <c r="E924" s="95"/>
      <c r="F924" s="95"/>
    </row>
    <row r="925" ht="15.75" customHeight="1">
      <c r="E925" s="95"/>
      <c r="F925" s="95"/>
    </row>
    <row r="926" ht="15.75" customHeight="1">
      <c r="E926" s="95"/>
      <c r="F926" s="95"/>
    </row>
    <row r="927" ht="15.75" customHeight="1">
      <c r="E927" s="95"/>
      <c r="F927" s="95"/>
    </row>
    <row r="928" ht="15.75" customHeight="1">
      <c r="E928" s="95"/>
      <c r="F928" s="95"/>
    </row>
    <row r="929" ht="15.75" customHeight="1">
      <c r="E929" s="95"/>
      <c r="F929" s="95"/>
    </row>
    <row r="930" ht="15.75" customHeight="1">
      <c r="E930" s="95"/>
      <c r="F930" s="95"/>
    </row>
    <row r="931" ht="15.75" customHeight="1">
      <c r="E931" s="95"/>
      <c r="F931" s="95"/>
    </row>
    <row r="932" ht="15.75" customHeight="1">
      <c r="E932" s="95"/>
      <c r="F932" s="95"/>
    </row>
    <row r="933" ht="15.75" customHeight="1">
      <c r="E933" s="95"/>
      <c r="F933" s="95"/>
    </row>
    <row r="934" ht="15.75" customHeight="1">
      <c r="E934" s="95"/>
      <c r="F934" s="95"/>
    </row>
    <row r="935" ht="15.75" customHeight="1">
      <c r="E935" s="95"/>
      <c r="F935" s="95"/>
    </row>
    <row r="936" ht="15.75" customHeight="1">
      <c r="E936" s="95"/>
      <c r="F936" s="95"/>
    </row>
    <row r="937" ht="15.75" customHeight="1">
      <c r="E937" s="95"/>
      <c r="F937" s="95"/>
    </row>
    <row r="938" ht="15.75" customHeight="1">
      <c r="E938" s="95"/>
      <c r="F938" s="95"/>
    </row>
    <row r="939" ht="15.75" customHeight="1">
      <c r="E939" s="95"/>
      <c r="F939" s="95"/>
    </row>
    <row r="940" ht="15.75" customHeight="1">
      <c r="E940" s="95"/>
      <c r="F940" s="95"/>
    </row>
    <row r="941" ht="15.75" customHeight="1">
      <c r="E941" s="95"/>
      <c r="F941" s="95"/>
    </row>
    <row r="942" ht="15.75" customHeight="1">
      <c r="E942" s="95"/>
      <c r="F942" s="95"/>
    </row>
    <row r="943" ht="15.75" customHeight="1">
      <c r="E943" s="95"/>
      <c r="F943" s="95"/>
    </row>
    <row r="944" ht="15.75" customHeight="1">
      <c r="E944" s="95"/>
      <c r="F944" s="95"/>
    </row>
    <row r="945" ht="15.75" customHeight="1">
      <c r="E945" s="95"/>
      <c r="F945" s="95"/>
    </row>
    <row r="946" ht="15.75" customHeight="1">
      <c r="E946" s="95"/>
      <c r="F946" s="95"/>
    </row>
    <row r="947" ht="15.75" customHeight="1">
      <c r="E947" s="95"/>
      <c r="F947" s="95"/>
    </row>
    <row r="948" ht="15.75" customHeight="1">
      <c r="E948" s="95"/>
      <c r="F948" s="95"/>
    </row>
    <row r="949" ht="15.75" customHeight="1">
      <c r="E949" s="95"/>
      <c r="F949" s="95"/>
    </row>
    <row r="950" ht="15.75" customHeight="1">
      <c r="E950" s="95"/>
      <c r="F950" s="95"/>
    </row>
    <row r="951" ht="15.75" customHeight="1">
      <c r="E951" s="95"/>
      <c r="F951" s="95"/>
    </row>
    <row r="952" ht="15.75" customHeight="1">
      <c r="E952" s="95"/>
      <c r="F952" s="95"/>
    </row>
    <row r="953" ht="15.75" customHeight="1">
      <c r="E953" s="95"/>
      <c r="F953" s="95"/>
    </row>
    <row r="954" ht="15.75" customHeight="1">
      <c r="E954" s="95"/>
      <c r="F954" s="95"/>
    </row>
    <row r="955" ht="15.75" customHeight="1">
      <c r="E955" s="95"/>
      <c r="F955" s="95"/>
    </row>
    <row r="956" ht="15.75" customHeight="1">
      <c r="E956" s="95"/>
      <c r="F956" s="95"/>
    </row>
    <row r="957" ht="15.75" customHeight="1">
      <c r="E957" s="95"/>
      <c r="F957" s="95"/>
    </row>
    <row r="958" ht="15.75" customHeight="1">
      <c r="E958" s="95"/>
      <c r="F958" s="95"/>
    </row>
    <row r="959" ht="15.75" customHeight="1">
      <c r="E959" s="95"/>
      <c r="F959" s="95"/>
    </row>
    <row r="960" ht="15.75" customHeight="1">
      <c r="E960" s="95"/>
      <c r="F960" s="95"/>
    </row>
    <row r="961" ht="15.75" customHeight="1">
      <c r="E961" s="95"/>
      <c r="F961" s="95"/>
    </row>
    <row r="962" ht="15.75" customHeight="1">
      <c r="E962" s="95"/>
      <c r="F962" s="95"/>
    </row>
    <row r="963" ht="15.75" customHeight="1">
      <c r="E963" s="95"/>
      <c r="F963" s="95"/>
    </row>
    <row r="964" ht="15.75" customHeight="1">
      <c r="E964" s="95"/>
      <c r="F964" s="95"/>
    </row>
    <row r="965" ht="15.75" customHeight="1">
      <c r="E965" s="95"/>
      <c r="F965" s="95"/>
    </row>
    <row r="966" ht="15.75" customHeight="1">
      <c r="E966" s="95"/>
      <c r="F966" s="95"/>
    </row>
    <row r="967" ht="15.75" customHeight="1">
      <c r="E967" s="95"/>
      <c r="F967" s="95"/>
    </row>
    <row r="968" ht="15.75" customHeight="1">
      <c r="E968" s="95"/>
      <c r="F968" s="95"/>
    </row>
    <row r="969" ht="15.75" customHeight="1">
      <c r="E969" s="95"/>
      <c r="F969" s="95"/>
    </row>
    <row r="970" ht="15.75" customHeight="1">
      <c r="E970" s="95"/>
      <c r="F970" s="95"/>
    </row>
    <row r="971" ht="15.75" customHeight="1">
      <c r="E971" s="95"/>
      <c r="F971" s="95"/>
    </row>
    <row r="972" ht="15.75" customHeight="1">
      <c r="E972" s="95"/>
      <c r="F972" s="95"/>
    </row>
    <row r="973" ht="15.75" customHeight="1">
      <c r="E973" s="95"/>
      <c r="F973" s="95"/>
    </row>
    <row r="974" ht="15.75" customHeight="1">
      <c r="E974" s="95"/>
      <c r="F974" s="95"/>
    </row>
    <row r="975" ht="15.75" customHeight="1">
      <c r="E975" s="95"/>
      <c r="F975" s="95"/>
    </row>
    <row r="976" ht="15.75" customHeight="1">
      <c r="E976" s="95"/>
      <c r="F976" s="95"/>
    </row>
    <row r="977" ht="15.75" customHeight="1">
      <c r="E977" s="95"/>
      <c r="F977" s="95"/>
    </row>
    <row r="978" ht="15.75" customHeight="1">
      <c r="E978" s="95"/>
      <c r="F978" s="95"/>
    </row>
    <row r="979" ht="15.75" customHeight="1">
      <c r="E979" s="95"/>
      <c r="F979" s="95"/>
    </row>
    <row r="980" ht="15.75" customHeight="1">
      <c r="E980" s="95"/>
      <c r="F980" s="95"/>
    </row>
    <row r="981" ht="15.75" customHeight="1">
      <c r="E981" s="95"/>
      <c r="F981" s="95"/>
    </row>
    <row r="982" ht="15.75" customHeight="1">
      <c r="E982" s="95"/>
      <c r="F982" s="95"/>
    </row>
    <row r="983" ht="15.75" customHeight="1">
      <c r="E983" s="95"/>
      <c r="F983" s="95"/>
    </row>
    <row r="984" ht="15.75" customHeight="1">
      <c r="E984" s="95"/>
      <c r="F984" s="95"/>
    </row>
    <row r="985" ht="15.75" customHeight="1">
      <c r="E985" s="95"/>
      <c r="F985" s="95"/>
    </row>
    <row r="986" ht="15.75" customHeight="1">
      <c r="E986" s="95"/>
      <c r="F986" s="95"/>
    </row>
    <row r="987" ht="15.75" customHeight="1">
      <c r="E987" s="95"/>
      <c r="F987" s="95"/>
    </row>
    <row r="988" ht="15.75" customHeight="1">
      <c r="E988" s="95"/>
      <c r="F988" s="95"/>
    </row>
    <row r="989" ht="15.75" customHeight="1">
      <c r="E989" s="95"/>
      <c r="F989" s="95"/>
    </row>
    <row r="990" ht="15.75" customHeight="1">
      <c r="E990" s="95"/>
      <c r="F990" s="95"/>
    </row>
    <row r="991" ht="15.75" customHeight="1">
      <c r="E991" s="95"/>
      <c r="F991" s="95"/>
    </row>
    <row r="992" ht="15.75" customHeight="1">
      <c r="E992" s="95"/>
      <c r="F992" s="95"/>
    </row>
    <row r="993" ht="15.75" customHeight="1">
      <c r="E993" s="95"/>
      <c r="F993" s="95"/>
    </row>
    <row r="994" ht="15.75" customHeight="1">
      <c r="E994" s="95"/>
      <c r="F994" s="95"/>
    </row>
    <row r="995" ht="15.75" customHeight="1">
      <c r="E995" s="95"/>
      <c r="F995" s="95"/>
    </row>
    <row r="996" ht="15.75" customHeight="1">
      <c r="E996" s="95"/>
      <c r="F996" s="95"/>
    </row>
    <row r="997" ht="15.75" customHeight="1">
      <c r="E997" s="95"/>
      <c r="F997" s="95"/>
    </row>
    <row r="998" ht="15.75" customHeight="1">
      <c r="E998" s="95"/>
      <c r="F998" s="95"/>
    </row>
    <row r="999" ht="15.75" customHeight="1">
      <c r="E999" s="95"/>
      <c r="F999" s="95"/>
    </row>
    <row r="1000" ht="15.75" customHeight="1">
      <c r="E1000" s="95"/>
      <c r="F1000" s="95"/>
    </row>
    <row r="1001" ht="15.75" customHeight="1">
      <c r="E1001" s="95"/>
      <c r="F1001" s="95"/>
    </row>
    <row r="1002" ht="15.75" customHeight="1">
      <c r="E1002" s="95"/>
      <c r="F1002" s="95"/>
    </row>
  </sheetData>
  <mergeCells count="1">
    <mergeCell ref="H1:I1"/>
  </mergeCells>
  <conditionalFormatting sqref="E2:E14">
    <cfRule type="expression" dxfId="6" priority="1">
      <formula>E2 &lt; D2</formula>
    </cfRule>
  </conditionalFormatting>
  <conditionalFormatting sqref="E2:F14">
    <cfRule type="expression" dxfId="7" priority="2">
      <formula>E2 &lt; C2</formula>
    </cfRule>
  </conditionalFormatting>
  <conditionalFormatting sqref="C2:C14">
    <cfRule type="colorScale" priority="3">
      <colorScale>
        <cfvo type="percent" val="0"/>
        <cfvo type="percent" val="100"/>
        <color rgb="FFFFFFFF"/>
        <color rgb="FFE67C73"/>
      </colorScale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8.71"/>
    <col customWidth="1" min="3" max="3" width="4.86"/>
    <col customWidth="1" hidden="1" min="4" max="4" width="30.0"/>
    <col customWidth="1" min="5" max="5" width="14.57"/>
    <col customWidth="1" min="6" max="8" width="8.71"/>
    <col customWidth="1" min="9" max="9" width="17.86"/>
    <col customWidth="1" min="10" max="10" width="13.29"/>
    <col customWidth="1" min="11" max="11" width="8.71"/>
    <col customWidth="1" min="12" max="12" width="16.29"/>
    <col customWidth="1" min="13" max="26" width="8.71"/>
  </cols>
  <sheetData>
    <row r="1">
      <c r="A1" s="96" t="s">
        <v>47</v>
      </c>
      <c r="B1" s="96" t="s">
        <v>85</v>
      </c>
      <c r="C1" s="96" t="s">
        <v>48</v>
      </c>
      <c r="D1" s="96" t="s">
        <v>49</v>
      </c>
      <c r="E1" s="97" t="s">
        <v>86</v>
      </c>
      <c r="I1" s="132"/>
      <c r="J1" s="132"/>
      <c r="K1" s="132"/>
      <c r="L1" s="133"/>
    </row>
    <row r="2">
      <c r="A2" s="15" t="s">
        <v>51</v>
      </c>
      <c r="B2" s="13">
        <v>24.0</v>
      </c>
      <c r="C2" s="15" t="s">
        <v>52</v>
      </c>
      <c r="D2" s="17">
        <f>'Ingredients Price'!C2</f>
        <v>176</v>
      </c>
      <c r="E2" s="17">
        <f>B2*'Ingredients Price'!C2</f>
        <v>4224</v>
      </c>
      <c r="I2" s="15"/>
      <c r="J2" s="13"/>
      <c r="K2" s="15"/>
      <c r="L2" s="15"/>
    </row>
    <row r="3">
      <c r="A3" s="100" t="s">
        <v>53</v>
      </c>
      <c r="B3" s="107">
        <v>0.2</v>
      </c>
      <c r="C3" s="100" t="s">
        <v>52</v>
      </c>
      <c r="D3" s="103">
        <f>'Ingredients Price'!C3</f>
        <v>1900</v>
      </c>
      <c r="E3" s="103">
        <f>B3*'Ingredients Price'!C3</f>
        <v>380</v>
      </c>
      <c r="I3" s="26"/>
      <c r="J3" s="23"/>
      <c r="K3" s="26"/>
      <c r="L3" s="26"/>
    </row>
    <row r="4">
      <c r="A4" s="15" t="s">
        <v>54</v>
      </c>
      <c r="B4" s="13">
        <v>0.6</v>
      </c>
      <c r="C4" s="15" t="s">
        <v>52</v>
      </c>
      <c r="D4" s="17">
        <f>'Ingredients Price'!C4</f>
        <v>208</v>
      </c>
      <c r="E4" s="17">
        <f>B4*'Ingredients Price'!C4</f>
        <v>124.8</v>
      </c>
      <c r="I4" s="15"/>
      <c r="J4" s="13"/>
      <c r="K4" s="15"/>
      <c r="L4" s="15"/>
    </row>
    <row r="5">
      <c r="A5" s="100" t="s">
        <v>55</v>
      </c>
      <c r="B5" s="107">
        <v>0.2</v>
      </c>
      <c r="C5" s="100" t="s">
        <v>52</v>
      </c>
      <c r="D5" s="103">
        <f>'Ingredients Price'!C5</f>
        <v>130</v>
      </c>
      <c r="E5" s="103">
        <f>B5*'Ingredients Price'!C5</f>
        <v>26</v>
      </c>
      <c r="I5" s="26"/>
      <c r="J5" s="23"/>
      <c r="K5" s="26"/>
      <c r="L5" s="26"/>
    </row>
    <row r="6">
      <c r="A6" s="15" t="s">
        <v>56</v>
      </c>
      <c r="B6" s="13">
        <v>0.7</v>
      </c>
      <c r="C6" s="15" t="s">
        <v>52</v>
      </c>
      <c r="D6" s="17">
        <f>'Ingredients Price'!C6</f>
        <v>501</v>
      </c>
      <c r="E6" s="17">
        <f>B6*'Ingredients Price'!C6</f>
        <v>350.7</v>
      </c>
      <c r="I6" s="15"/>
      <c r="J6" s="13"/>
      <c r="K6" s="15"/>
      <c r="L6" s="134"/>
    </row>
    <row r="7">
      <c r="A7" s="107" t="s">
        <v>57</v>
      </c>
      <c r="B7" s="107">
        <v>0.2</v>
      </c>
      <c r="C7" s="107" t="s">
        <v>58</v>
      </c>
      <c r="D7" s="135">
        <f>'Ingredients Price'!C7</f>
        <v>900</v>
      </c>
      <c r="E7" s="103">
        <f>B7*'Ingredients Price'!C7</f>
        <v>180</v>
      </c>
      <c r="I7" s="23"/>
      <c r="J7" s="23"/>
      <c r="K7" s="23"/>
      <c r="L7" s="26"/>
    </row>
    <row r="8">
      <c r="A8" s="111" t="s">
        <v>95</v>
      </c>
      <c r="E8" s="17">
        <f>SUM(E2:E7)</f>
        <v>5285.5</v>
      </c>
      <c r="I8" s="111"/>
      <c r="L8" s="15"/>
    </row>
    <row r="9">
      <c r="A9" s="136" t="s">
        <v>106</v>
      </c>
      <c r="E9" s="137">
        <f>E8/70</f>
        <v>75.50714286</v>
      </c>
    </row>
    <row r="10">
      <c r="J10" s="136"/>
      <c r="N10" s="13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4">
    <mergeCell ref="A8:D8"/>
    <mergeCell ref="I8:K8"/>
    <mergeCell ref="A9:D9"/>
    <mergeCell ref="J10:M10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14.71"/>
    <col customWidth="1" hidden="1" min="4" max="4" width="29.0"/>
    <col customWidth="1" min="5" max="5" width="14.57"/>
  </cols>
  <sheetData>
    <row r="1">
      <c r="A1" s="96" t="s">
        <v>47</v>
      </c>
      <c r="B1" s="96" t="s">
        <v>85</v>
      </c>
      <c r="C1" s="96" t="s">
        <v>48</v>
      </c>
      <c r="D1" s="96" t="s">
        <v>49</v>
      </c>
      <c r="E1" s="97" t="s">
        <v>86</v>
      </c>
    </row>
    <row r="2">
      <c r="A2" s="15" t="s">
        <v>51</v>
      </c>
      <c r="B2" s="13">
        <v>8.0</v>
      </c>
      <c r="C2" s="15" t="s">
        <v>52</v>
      </c>
      <c r="D2" s="17">
        <f>'Ingredients Price'!C2</f>
        <v>176</v>
      </c>
      <c r="E2" s="17">
        <f>B2*'Ingredients Price'!C2</f>
        <v>1408</v>
      </c>
    </row>
    <row r="3">
      <c r="A3" s="100" t="s">
        <v>53</v>
      </c>
      <c r="B3" s="107">
        <v>0.04</v>
      </c>
      <c r="C3" s="100" t="s">
        <v>52</v>
      </c>
      <c r="D3" s="103">
        <f>'Ingredients Price'!C3</f>
        <v>1900</v>
      </c>
      <c r="E3" s="103">
        <f>B3*'Ingredients Price'!C3</f>
        <v>76</v>
      </c>
    </row>
    <row r="4">
      <c r="A4" s="15" t="s">
        <v>54</v>
      </c>
      <c r="B4" s="13">
        <v>0.7</v>
      </c>
      <c r="C4" s="15" t="s">
        <v>52</v>
      </c>
      <c r="D4" s="17">
        <f>'Ingredients Price'!C4</f>
        <v>208</v>
      </c>
      <c r="E4" s="17">
        <f>B4*'Ingredients Price'!C4</f>
        <v>145.6</v>
      </c>
    </row>
    <row r="5">
      <c r="A5" s="100" t="s">
        <v>55</v>
      </c>
      <c r="B5" s="107">
        <v>0.15</v>
      </c>
      <c r="C5" s="100" t="s">
        <v>52</v>
      </c>
      <c r="D5" s="103">
        <f>'Ingredients Price'!C5</f>
        <v>130</v>
      </c>
      <c r="E5" s="103">
        <f>B5*'Ingredients Price'!C5</f>
        <v>19.5</v>
      </c>
    </row>
    <row r="6">
      <c r="A6" s="15" t="s">
        <v>56</v>
      </c>
      <c r="B6" s="13">
        <v>0.4</v>
      </c>
      <c r="C6" s="15" t="s">
        <v>52</v>
      </c>
      <c r="D6" s="17">
        <f>'Ingredients Price'!C6</f>
        <v>501</v>
      </c>
      <c r="E6" s="17">
        <f>B6*'Ingredients Price'!C6</f>
        <v>200.4</v>
      </c>
    </row>
    <row r="7">
      <c r="A7" s="107" t="s">
        <v>57</v>
      </c>
      <c r="B7" s="107">
        <v>0.4</v>
      </c>
      <c r="C7" s="107" t="s">
        <v>58</v>
      </c>
      <c r="D7" s="135">
        <f>'Ingredients Price'!C7</f>
        <v>900</v>
      </c>
      <c r="E7" s="103">
        <f>B7*'Ingredients Price'!C7</f>
        <v>360</v>
      </c>
    </row>
    <row r="8">
      <c r="A8" s="111" t="s">
        <v>95</v>
      </c>
      <c r="E8" s="17">
        <f>SUM(E2:E7)</f>
        <v>2209.5</v>
      </c>
    </row>
    <row r="9">
      <c r="A9" s="136" t="s">
        <v>106</v>
      </c>
      <c r="E9" s="137">
        <f>E8/178</f>
        <v>12.41292135</v>
      </c>
    </row>
  </sheetData>
  <mergeCells count="2">
    <mergeCell ref="A8:D8"/>
    <mergeCell ref="A9:D9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8.71"/>
    <col customWidth="1" min="3" max="3" width="11.71"/>
    <col customWidth="1" min="4" max="4" width="30.0"/>
    <col customWidth="1" min="5" max="5" width="16.43"/>
    <col customWidth="1" min="6" max="25" width="8.71"/>
  </cols>
  <sheetData>
    <row r="1">
      <c r="A1" s="132" t="s">
        <v>47</v>
      </c>
      <c r="B1" s="132" t="s">
        <v>85</v>
      </c>
      <c r="C1" s="132" t="s">
        <v>48</v>
      </c>
      <c r="D1" s="133" t="s">
        <v>107</v>
      </c>
    </row>
    <row r="2">
      <c r="A2" s="15" t="s">
        <v>51</v>
      </c>
      <c r="B2" s="13">
        <v>10.0</v>
      </c>
      <c r="C2" s="15" t="s">
        <v>52</v>
      </c>
      <c r="D2" s="17">
        <f>B2*'Ingredients Price'!C2</f>
        <v>1760</v>
      </c>
    </row>
    <row r="3">
      <c r="A3" s="26" t="s">
        <v>53</v>
      </c>
      <c r="B3" s="26">
        <v>0.1</v>
      </c>
      <c r="C3" s="26" t="s">
        <v>52</v>
      </c>
      <c r="D3" s="25">
        <f>B3*'Ingredients Price'!C3</f>
        <v>190</v>
      </c>
    </row>
    <row r="4">
      <c r="A4" s="15" t="s">
        <v>54</v>
      </c>
      <c r="B4" s="15">
        <v>1.0</v>
      </c>
      <c r="C4" s="15" t="s">
        <v>52</v>
      </c>
      <c r="D4" s="17">
        <f>B4*'Ingredients Price'!C4</f>
        <v>208</v>
      </c>
    </row>
    <row r="5">
      <c r="A5" s="26" t="s">
        <v>55</v>
      </c>
      <c r="B5" s="26">
        <v>0.1</v>
      </c>
      <c r="C5" s="26" t="s">
        <v>52</v>
      </c>
      <c r="D5" s="25">
        <f>B5*'Ingredients Price'!C5</f>
        <v>13</v>
      </c>
    </row>
    <row r="6">
      <c r="A6" s="15" t="s">
        <v>108</v>
      </c>
      <c r="B6" s="13">
        <v>0.5</v>
      </c>
      <c r="C6" s="15" t="s">
        <v>52</v>
      </c>
      <c r="D6" s="139">
        <f>B6*'Ingredients Price'!C9</f>
        <v>280</v>
      </c>
    </row>
    <row r="7">
      <c r="A7" s="23" t="s">
        <v>57</v>
      </c>
      <c r="B7" s="23">
        <v>0.2</v>
      </c>
      <c r="C7" s="23" t="s">
        <v>58</v>
      </c>
      <c r="D7" s="25">
        <f>B7*'Ingredients Price'!C7</f>
        <v>180</v>
      </c>
    </row>
    <row r="8">
      <c r="A8" s="111" t="s">
        <v>95</v>
      </c>
      <c r="D8" s="17">
        <f>SUM(D2:D7)</f>
        <v>2631</v>
      </c>
    </row>
    <row r="10">
      <c r="A10" s="140" t="s">
        <v>20</v>
      </c>
      <c r="B10" s="141"/>
      <c r="C10" s="141"/>
      <c r="D10" s="142"/>
    </row>
    <row r="11">
      <c r="A11" s="143" t="s">
        <v>47</v>
      </c>
      <c r="B11" s="143" t="s">
        <v>85</v>
      </c>
      <c r="C11" s="143" t="s">
        <v>48</v>
      </c>
      <c r="D11" s="144" t="s">
        <v>107</v>
      </c>
    </row>
    <row r="12">
      <c r="A12" s="84" t="s">
        <v>109</v>
      </c>
      <c r="B12" s="84">
        <v>0.5</v>
      </c>
      <c r="C12" s="84" t="s">
        <v>52</v>
      </c>
      <c r="D12" s="95">
        <f>B12*'Ingredients Price'!C4</f>
        <v>104</v>
      </c>
    </row>
    <row r="13">
      <c r="A13" s="145" t="s">
        <v>95</v>
      </c>
      <c r="D13" s="95">
        <f>SUM(F66,D12)</f>
        <v>115.8087971</v>
      </c>
    </row>
    <row r="14">
      <c r="A14" s="145" t="s">
        <v>110</v>
      </c>
      <c r="D14" s="146">
        <f>SUM(F66) + SUM(D13)/B66</f>
        <v>16.44114901</v>
      </c>
    </row>
    <row r="16">
      <c r="A16" s="147" t="s">
        <v>111</v>
      </c>
      <c r="B16" s="141"/>
      <c r="C16" s="141"/>
      <c r="D16" s="142"/>
    </row>
    <row r="17">
      <c r="A17" s="143" t="s">
        <v>47</v>
      </c>
      <c r="B17" s="143" t="s">
        <v>85</v>
      </c>
      <c r="C17" s="143" t="s">
        <v>48</v>
      </c>
      <c r="D17" s="144" t="s">
        <v>107</v>
      </c>
    </row>
    <row r="18">
      <c r="A18" s="84" t="s">
        <v>109</v>
      </c>
      <c r="B18" s="84">
        <v>0.8</v>
      </c>
      <c r="C18" s="84" t="s">
        <v>52</v>
      </c>
      <c r="D18" s="95">
        <f>B18*'Ingredients Price'!C4</f>
        <v>166.4</v>
      </c>
    </row>
    <row r="19">
      <c r="A19" s="84" t="s">
        <v>59</v>
      </c>
      <c r="B19" s="84">
        <v>0.3</v>
      </c>
      <c r="C19" s="84" t="s">
        <v>52</v>
      </c>
      <c r="D19" s="95">
        <f>B19*'Ingredients Price'!C8</f>
        <v>126</v>
      </c>
    </row>
    <row r="20">
      <c r="A20" s="145" t="s">
        <v>95</v>
      </c>
      <c r="D20" s="95">
        <f>SUM(D18:D19)</f>
        <v>292.4</v>
      </c>
    </row>
    <row r="21">
      <c r="A21" s="145" t="s">
        <v>110</v>
      </c>
      <c r="D21" s="146">
        <f>SUM(F67) + SUM(D20)/B67</f>
        <v>20.01855655</v>
      </c>
    </row>
    <row r="23" ht="15.75" customHeight="1">
      <c r="A23" s="148" t="s">
        <v>18</v>
      </c>
      <c r="B23" s="141"/>
      <c r="C23" s="141"/>
      <c r="D23" s="142"/>
    </row>
    <row r="24" ht="15.75" customHeight="1">
      <c r="A24" s="143" t="s">
        <v>47</v>
      </c>
      <c r="B24" s="143" t="s">
        <v>85</v>
      </c>
      <c r="C24" s="143" t="s">
        <v>48</v>
      </c>
      <c r="D24" s="144" t="s">
        <v>107</v>
      </c>
    </row>
    <row r="25" ht="15.75" customHeight="1">
      <c r="A25" s="84" t="s">
        <v>61</v>
      </c>
      <c r="B25" s="84">
        <v>2.0</v>
      </c>
      <c r="C25" s="84" t="s">
        <v>52</v>
      </c>
      <c r="D25" s="95">
        <f>B25*'Ingredients Price'!C10</f>
        <v>200</v>
      </c>
    </row>
    <row r="26" ht="15.75" customHeight="1">
      <c r="A26" s="42" t="s">
        <v>55</v>
      </c>
      <c r="B26" s="42">
        <v>0.01</v>
      </c>
      <c r="C26" s="42" t="s">
        <v>52</v>
      </c>
      <c r="D26" s="95">
        <f>B26*'Ingredients Price'!C5</f>
        <v>1.3</v>
      </c>
    </row>
    <row r="27" ht="15.75" customHeight="1">
      <c r="A27" s="84" t="s">
        <v>62</v>
      </c>
      <c r="B27" s="42">
        <v>0.05</v>
      </c>
      <c r="C27" s="84" t="s">
        <v>52</v>
      </c>
      <c r="D27" s="95">
        <f>B27*'Ingredients Price'!C11</f>
        <v>35</v>
      </c>
    </row>
    <row r="28" ht="15.75" customHeight="1">
      <c r="A28" s="84" t="s">
        <v>63</v>
      </c>
      <c r="B28" s="84">
        <v>0.02</v>
      </c>
      <c r="C28" s="84" t="s">
        <v>52</v>
      </c>
      <c r="D28" s="95">
        <f>B28*'Ingredients Price'!C12</f>
        <v>53</v>
      </c>
    </row>
    <row r="29" ht="15.75" customHeight="1">
      <c r="A29" s="42" t="s">
        <v>79</v>
      </c>
      <c r="B29" s="42">
        <v>0.02</v>
      </c>
      <c r="C29" s="42" t="s">
        <v>52</v>
      </c>
      <c r="D29" s="95">
        <f>B29*'Ingredients Price'!C27</f>
        <v>13.6</v>
      </c>
    </row>
    <row r="30" ht="15.75" customHeight="1">
      <c r="A30" s="42" t="s">
        <v>57</v>
      </c>
      <c r="B30" s="42">
        <v>0.25</v>
      </c>
      <c r="C30" s="42" t="s">
        <v>112</v>
      </c>
      <c r="D30" s="95">
        <f>B30*'Ingredients Price'!C7</f>
        <v>225</v>
      </c>
    </row>
    <row r="31" ht="15.75" customHeight="1">
      <c r="A31" s="145" t="s">
        <v>95</v>
      </c>
      <c r="D31" s="95">
        <f>SUM(D25:D29)</f>
        <v>302.9</v>
      </c>
    </row>
    <row r="32" ht="15.75" customHeight="1">
      <c r="A32" s="145" t="s">
        <v>110</v>
      </c>
      <c r="D32" s="146">
        <f>SUM(F65) + SUM(D31)/B65</f>
        <v>19.21888989</v>
      </c>
    </row>
    <row r="33" ht="15.75" customHeight="1"/>
    <row r="34" ht="15.75" customHeight="1">
      <c r="A34" s="149" t="s">
        <v>26</v>
      </c>
      <c r="B34" s="141"/>
      <c r="C34" s="141"/>
      <c r="D34" s="142"/>
    </row>
    <row r="35" ht="15.75" customHeight="1">
      <c r="A35" s="143" t="s">
        <v>47</v>
      </c>
      <c r="B35" s="143" t="s">
        <v>85</v>
      </c>
      <c r="C35" s="143" t="s">
        <v>48</v>
      </c>
      <c r="D35" s="144" t="s">
        <v>107</v>
      </c>
    </row>
    <row r="36" ht="15.75" customHeight="1">
      <c r="A36" s="42" t="s">
        <v>64</v>
      </c>
      <c r="B36" s="42">
        <v>0.02</v>
      </c>
      <c r="C36" s="42" t="s">
        <v>52</v>
      </c>
      <c r="D36" s="95">
        <f>B36*'Ingredients Price'!C13</f>
        <v>0</v>
      </c>
    </row>
    <row r="37" ht="15.75" customHeight="1">
      <c r="A37" s="42" t="s">
        <v>65</v>
      </c>
      <c r="B37" s="42">
        <v>5.0</v>
      </c>
      <c r="C37" s="42" t="s">
        <v>66</v>
      </c>
      <c r="D37" s="95">
        <f>B37*'Ingredients Price'!C14</f>
        <v>155</v>
      </c>
    </row>
    <row r="38" ht="15.75" customHeight="1">
      <c r="A38" s="42" t="s">
        <v>67</v>
      </c>
      <c r="B38" s="42">
        <v>2.0</v>
      </c>
      <c r="C38" s="42" t="s">
        <v>66</v>
      </c>
      <c r="D38" s="95">
        <f>B38*'Ingredients Price'!C15</f>
        <v>0</v>
      </c>
    </row>
    <row r="39" ht="15.75" customHeight="1">
      <c r="A39" s="145" t="s">
        <v>95</v>
      </c>
      <c r="D39" s="84">
        <f>SUM(D35:D37)</f>
        <v>155</v>
      </c>
    </row>
    <row r="40" ht="15.75" customHeight="1">
      <c r="A40" s="145" t="s">
        <v>110</v>
      </c>
      <c r="D40" s="146">
        <f>SUM(F68) + SUM(D39)/B68</f>
        <v>45.75972472</v>
      </c>
    </row>
    <row r="41" ht="15.75" customHeight="1"/>
    <row r="42" ht="15.75" customHeight="1">
      <c r="A42" s="150" t="s">
        <v>113</v>
      </c>
      <c r="B42" s="141"/>
      <c r="C42" s="141"/>
      <c r="D42" s="142"/>
    </row>
    <row r="43" ht="15.75" customHeight="1">
      <c r="A43" s="143" t="s">
        <v>47</v>
      </c>
      <c r="B43" s="143" t="s">
        <v>85</v>
      </c>
      <c r="C43" s="143" t="s">
        <v>48</v>
      </c>
      <c r="D43" s="144" t="s">
        <v>107</v>
      </c>
    </row>
    <row r="44" ht="15.75" customHeight="1">
      <c r="A44" s="42" t="s">
        <v>68</v>
      </c>
      <c r="B44" s="42">
        <v>0.02</v>
      </c>
      <c r="C44" s="42" t="s">
        <v>58</v>
      </c>
      <c r="D44" s="95">
        <f>B44*'Ingredients Price'!C16</f>
        <v>12.5</v>
      </c>
    </row>
    <row r="45" ht="15.75" customHeight="1">
      <c r="A45" s="42" t="s">
        <v>67</v>
      </c>
      <c r="B45" s="42">
        <v>8.0</v>
      </c>
      <c r="C45" s="42" t="s">
        <v>66</v>
      </c>
      <c r="D45" s="95">
        <f>B45*'Ingredients Price'!C15</f>
        <v>0</v>
      </c>
    </row>
    <row r="46" ht="15.75" customHeight="1">
      <c r="A46" s="145" t="s">
        <v>95</v>
      </c>
      <c r="D46" s="95">
        <f>SUM(D44:D45)</f>
        <v>12.5</v>
      </c>
    </row>
    <row r="47" ht="15.75" customHeight="1">
      <c r="A47" s="145" t="s">
        <v>110</v>
      </c>
      <c r="D47" s="146">
        <f>SUM(F69) + SUM(D46)/B69</f>
        <v>32.26537253</v>
      </c>
    </row>
    <row r="48" ht="15.75" customHeight="1"/>
    <row r="49" ht="15.75" customHeight="1">
      <c r="A49" s="150" t="s">
        <v>39</v>
      </c>
      <c r="B49" s="141"/>
      <c r="C49" s="141"/>
      <c r="D49" s="142"/>
    </row>
    <row r="50" ht="15.75" customHeight="1">
      <c r="A50" s="143" t="s">
        <v>47</v>
      </c>
      <c r="B50" s="143" t="s">
        <v>85</v>
      </c>
      <c r="C50" s="143" t="s">
        <v>48</v>
      </c>
      <c r="D50" s="144" t="s">
        <v>107</v>
      </c>
    </row>
    <row r="51" ht="15.75" customHeight="1">
      <c r="A51" s="42" t="s">
        <v>94</v>
      </c>
      <c r="B51" s="42">
        <v>2.0</v>
      </c>
      <c r="C51" s="42" t="s">
        <v>66</v>
      </c>
      <c r="D51" s="95">
        <f>B51*'Ingredients Price'!C14</f>
        <v>62</v>
      </c>
    </row>
    <row r="52" ht="15.75" customHeight="1">
      <c r="A52" s="42" t="s">
        <v>84</v>
      </c>
      <c r="B52" s="42">
        <v>0.05</v>
      </c>
      <c r="C52" s="42" t="s">
        <v>52</v>
      </c>
      <c r="D52" s="95">
        <f>B52*'Ingredients Price'!C30</f>
        <v>50</v>
      </c>
    </row>
    <row r="53" ht="15.75" customHeight="1">
      <c r="A53" s="42" t="s">
        <v>114</v>
      </c>
      <c r="B53" s="42">
        <v>0.03</v>
      </c>
      <c r="C53" s="42" t="s">
        <v>58</v>
      </c>
      <c r="D53" s="95">
        <f>B53*'Ingredients Price'!C7</f>
        <v>27</v>
      </c>
    </row>
    <row r="54" ht="15.75" customHeight="1">
      <c r="A54" s="145" t="s">
        <v>95</v>
      </c>
      <c r="D54" s="95">
        <f>SUM(D51:D52)</f>
        <v>112</v>
      </c>
    </row>
    <row r="55" ht="15.75" customHeight="1">
      <c r="A55" s="145" t="s">
        <v>110</v>
      </c>
      <c r="D55" s="146">
        <f>SUM(F70) + SUM(D54)/B70</f>
        <v>57.82639138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>
      <c r="A64" s="151" t="s">
        <v>98</v>
      </c>
      <c r="B64" s="151" t="s">
        <v>115</v>
      </c>
      <c r="C64" s="151" t="s">
        <v>116</v>
      </c>
      <c r="D64" s="151" t="s">
        <v>117</v>
      </c>
      <c r="E64" s="152" t="s">
        <v>118</v>
      </c>
      <c r="F64" s="153" t="s">
        <v>119</v>
      </c>
    </row>
    <row r="65" ht="15.75" customHeight="1">
      <c r="A65" s="154" t="s">
        <v>120</v>
      </c>
      <c r="B65" s="154">
        <v>60.0</v>
      </c>
      <c r="C65" s="154">
        <f>(120/1000)/2</f>
        <v>0.06</v>
      </c>
      <c r="D65" s="155">
        <f t="shared" ref="D65:D70" si="1">B65*C65</f>
        <v>3.6</v>
      </c>
      <c r="E65" s="156">
        <f>(D8/D71)*D65</f>
        <v>850.2333932</v>
      </c>
      <c r="F65" s="157">
        <f t="shared" ref="F65:F70" si="2">SUM(E65/B65)</f>
        <v>14.17055655</v>
      </c>
    </row>
    <row r="66" ht="15.75" customHeight="1">
      <c r="A66" s="158" t="s">
        <v>20</v>
      </c>
      <c r="B66" s="159">
        <v>25.0</v>
      </c>
      <c r="C66" s="158">
        <f>(100/1000)/2</f>
        <v>0.05</v>
      </c>
      <c r="D66" s="160">
        <f t="shared" si="1"/>
        <v>1.25</v>
      </c>
      <c r="E66" s="161">
        <f>(D8/D71)*D66</f>
        <v>295.2199282</v>
      </c>
      <c r="F66" s="162">
        <f t="shared" si="2"/>
        <v>11.80879713</v>
      </c>
    </row>
    <row r="67" ht="15.75" customHeight="1">
      <c r="A67" s="163" t="s">
        <v>22</v>
      </c>
      <c r="B67" s="163">
        <v>50.0</v>
      </c>
      <c r="C67" s="163">
        <f>(120/1000)/2</f>
        <v>0.06</v>
      </c>
      <c r="D67" s="164">
        <f t="shared" si="1"/>
        <v>3</v>
      </c>
      <c r="E67" s="165">
        <f>(D8/D71)*D67</f>
        <v>708.5278276</v>
      </c>
      <c r="F67" s="166">
        <f t="shared" si="2"/>
        <v>14.17055655</v>
      </c>
    </row>
    <row r="68" ht="15.75" customHeight="1">
      <c r="A68" s="167" t="s">
        <v>26</v>
      </c>
      <c r="B68" s="167">
        <v>15.0</v>
      </c>
      <c r="C68" s="167">
        <v>0.15</v>
      </c>
      <c r="D68" s="168">
        <f t="shared" si="1"/>
        <v>2.25</v>
      </c>
      <c r="E68" s="169">
        <f>(D8/D71)*D68</f>
        <v>531.3958707</v>
      </c>
      <c r="F68" s="170">
        <f t="shared" si="2"/>
        <v>35.42639138</v>
      </c>
    </row>
    <row r="69" ht="15.75" customHeight="1">
      <c r="A69" s="171" t="s">
        <v>113</v>
      </c>
      <c r="B69" s="171">
        <v>8.0</v>
      </c>
      <c r="C69" s="171">
        <v>0.13</v>
      </c>
      <c r="D69" s="172">
        <f t="shared" si="1"/>
        <v>1.04</v>
      </c>
      <c r="E69" s="173">
        <f>(D8/D71)*D69</f>
        <v>245.6229803</v>
      </c>
      <c r="F69" s="174">
        <f t="shared" si="2"/>
        <v>30.70287253</v>
      </c>
    </row>
    <row r="70" ht="15.75" customHeight="1">
      <c r="A70" s="171" t="s">
        <v>39</v>
      </c>
      <c r="B70" s="171">
        <v>5.0</v>
      </c>
      <c r="C70" s="171">
        <v>0.15</v>
      </c>
      <c r="D70" s="172">
        <f t="shared" si="1"/>
        <v>0.75</v>
      </c>
      <c r="E70" s="173">
        <f>(D8/D71)*D70</f>
        <v>177.1319569</v>
      </c>
      <c r="F70" s="175">
        <f t="shared" si="2"/>
        <v>35.42639138</v>
      </c>
    </row>
    <row r="71" ht="15.75" customHeight="1">
      <c r="A71" s="176" t="s">
        <v>33</v>
      </c>
      <c r="D71" s="177">
        <f>SUM(D65:D69)</f>
        <v>11.14</v>
      </c>
      <c r="E71" s="178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</sheetData>
  <mergeCells count="20">
    <mergeCell ref="A8:C8"/>
    <mergeCell ref="A10:D10"/>
    <mergeCell ref="A13:C13"/>
    <mergeCell ref="A14:C14"/>
    <mergeCell ref="A16:D16"/>
    <mergeCell ref="A20:C20"/>
    <mergeCell ref="A23:D23"/>
    <mergeCell ref="A46:C46"/>
    <mergeCell ref="A47:C47"/>
    <mergeCell ref="A49:D49"/>
    <mergeCell ref="A54:C54"/>
    <mergeCell ref="A55:C55"/>
    <mergeCell ref="A71:C71"/>
    <mergeCell ref="A21:C21"/>
    <mergeCell ref="A31:C31"/>
    <mergeCell ref="A32:C32"/>
    <mergeCell ref="A34:D34"/>
    <mergeCell ref="A39:C39"/>
    <mergeCell ref="A40:C40"/>
    <mergeCell ref="A42:D42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8.71"/>
    <col customWidth="1" min="3" max="3" width="11.71"/>
    <col customWidth="1" min="4" max="4" width="16.29"/>
    <col customWidth="1" min="5" max="5" width="16.43"/>
    <col customWidth="1" min="6" max="6" width="8.71"/>
    <col customWidth="1" min="7" max="7" width="10.86"/>
    <col customWidth="1" min="8" max="8" width="30.0"/>
    <col customWidth="1" min="9" max="9" width="4.86"/>
    <col customWidth="1" min="10" max="10" width="30.0"/>
    <col customWidth="1" min="11" max="24" width="8.71"/>
  </cols>
  <sheetData>
    <row r="1">
      <c r="A1" s="179" t="s">
        <v>47</v>
      </c>
      <c r="B1" s="179" t="s">
        <v>85</v>
      </c>
      <c r="C1" s="179" t="s">
        <v>48</v>
      </c>
      <c r="D1" s="180" t="s">
        <v>107</v>
      </c>
    </row>
    <row r="2">
      <c r="A2" s="181" t="s">
        <v>51</v>
      </c>
      <c r="B2" s="182">
        <v>3.0</v>
      </c>
      <c r="C2" s="181" t="s">
        <v>52</v>
      </c>
      <c r="D2" s="183">
        <f>B2*'Ingredients Price'!C2</f>
        <v>528</v>
      </c>
    </row>
    <row r="3">
      <c r="A3" s="182" t="s">
        <v>69</v>
      </c>
      <c r="B3" s="182">
        <v>0.8</v>
      </c>
      <c r="C3" s="181" t="s">
        <v>52</v>
      </c>
      <c r="D3" s="183">
        <f>B3*'Ingredients Price'!C17</f>
        <v>1520</v>
      </c>
    </row>
    <row r="4">
      <c r="A4" s="181" t="s">
        <v>54</v>
      </c>
      <c r="B4" s="181">
        <v>1.0</v>
      </c>
      <c r="C4" s="181" t="s">
        <v>52</v>
      </c>
      <c r="D4" s="183">
        <f>B4*'Ingredients Price'!C4</f>
        <v>208</v>
      </c>
    </row>
    <row r="5">
      <c r="A5" s="181" t="s">
        <v>55</v>
      </c>
      <c r="B5" s="182">
        <v>0.05</v>
      </c>
      <c r="C5" s="181" t="s">
        <v>52</v>
      </c>
      <c r="D5" s="183">
        <f>B5*'Ingredients Price'!C5</f>
        <v>6.5</v>
      </c>
    </row>
    <row r="6">
      <c r="A6" s="181" t="s">
        <v>108</v>
      </c>
      <c r="B6" s="182">
        <v>0.3</v>
      </c>
      <c r="C6" s="181" t="s">
        <v>52</v>
      </c>
      <c r="D6" s="184">
        <f>B6*'Ingredients Price'!C9</f>
        <v>168</v>
      </c>
    </row>
    <row r="7">
      <c r="A7" s="182" t="s">
        <v>65</v>
      </c>
      <c r="B7" s="182">
        <v>2.0</v>
      </c>
      <c r="C7" s="182" t="s">
        <v>66</v>
      </c>
      <c r="D7" s="183">
        <f>B7*'Ingredients Price'!C14</f>
        <v>62</v>
      </c>
    </row>
    <row r="8">
      <c r="A8" s="181" t="s">
        <v>95</v>
      </c>
      <c r="B8" s="181" t="s">
        <v>46</v>
      </c>
      <c r="C8" s="181"/>
      <c r="D8" s="183">
        <f>SUM(D2:D6)</f>
        <v>2430.5</v>
      </c>
    </row>
    <row r="9">
      <c r="A9" s="185"/>
      <c r="B9" s="185"/>
      <c r="C9" s="185"/>
      <c r="D9" s="185"/>
      <c r="E9" s="185"/>
    </row>
    <row r="10">
      <c r="A10" s="186" t="s">
        <v>121</v>
      </c>
      <c r="B10" s="187"/>
      <c r="C10" s="187"/>
      <c r="D10" s="187"/>
      <c r="E10" s="188" t="s">
        <v>122</v>
      </c>
    </row>
    <row r="11">
      <c r="A11" s="143" t="s">
        <v>47</v>
      </c>
      <c r="B11" s="143" t="s">
        <v>85</v>
      </c>
      <c r="C11" s="143" t="s">
        <v>48</v>
      </c>
      <c r="D11" s="180" t="s">
        <v>107</v>
      </c>
      <c r="E11" s="179" t="s">
        <v>47</v>
      </c>
      <c r="F11" s="179" t="s">
        <v>85</v>
      </c>
      <c r="G11" s="179" t="s">
        <v>48</v>
      </c>
      <c r="H11" s="180" t="s">
        <v>107</v>
      </c>
    </row>
    <row r="12">
      <c r="A12" s="42" t="s">
        <v>123</v>
      </c>
      <c r="B12" s="42">
        <v>0.01</v>
      </c>
      <c r="C12" s="42" t="s">
        <v>52</v>
      </c>
      <c r="D12" s="20">
        <f>B12*H14</f>
        <v>23.025</v>
      </c>
      <c r="E12" s="182" t="s">
        <v>70</v>
      </c>
      <c r="F12" s="182">
        <v>1.0</v>
      </c>
      <c r="G12" s="181" t="s">
        <v>52</v>
      </c>
      <c r="H12" s="183">
        <f>F12*'Ingredients Price'!C18</f>
        <v>1200</v>
      </c>
    </row>
    <row r="13">
      <c r="A13" s="145" t="s">
        <v>95</v>
      </c>
      <c r="D13" s="95">
        <f>SUM(D12)</f>
        <v>23.025</v>
      </c>
      <c r="E13" s="182" t="s">
        <v>71</v>
      </c>
      <c r="F13" s="182">
        <v>2.45</v>
      </c>
      <c r="G13" s="181" t="s">
        <v>52</v>
      </c>
      <c r="H13" s="183">
        <f>F13*'Ingredients Price'!C19</f>
        <v>1102.5</v>
      </c>
    </row>
    <row r="14">
      <c r="A14" s="145" t="s">
        <v>110</v>
      </c>
      <c r="D14" s="146">
        <f>SUM(F20) + SUM(D13)/B20</f>
        <v>18.09200634</v>
      </c>
      <c r="E14" s="52" t="s">
        <v>33</v>
      </c>
      <c r="H14" s="189">
        <f>SUM(H11:H13)</f>
        <v>2302.5</v>
      </c>
    </row>
    <row r="15">
      <c r="A15" s="185"/>
      <c r="B15" s="185"/>
      <c r="C15" s="185"/>
      <c r="D15" s="185"/>
      <c r="E15" s="185"/>
    </row>
    <row r="16">
      <c r="A16" s="185"/>
      <c r="B16" s="185"/>
      <c r="C16" s="185"/>
      <c r="D16" s="185"/>
      <c r="E16" s="185"/>
    </row>
    <row r="17">
      <c r="A17" s="185"/>
      <c r="B17" s="185"/>
      <c r="C17" s="185"/>
      <c r="D17" s="185"/>
      <c r="E17" s="185"/>
    </row>
    <row r="18">
      <c r="A18" s="190" t="s">
        <v>98</v>
      </c>
      <c r="B18" s="190" t="s">
        <v>115</v>
      </c>
      <c r="C18" s="190" t="s">
        <v>116</v>
      </c>
      <c r="D18" s="190" t="s">
        <v>117</v>
      </c>
      <c r="E18" s="190" t="s">
        <v>118</v>
      </c>
      <c r="F18" s="190" t="s">
        <v>119</v>
      </c>
    </row>
    <row r="19">
      <c r="A19" s="191" t="s">
        <v>124</v>
      </c>
      <c r="B19" s="191">
        <v>50.0</v>
      </c>
      <c r="C19" s="191">
        <v>0.09</v>
      </c>
      <c r="D19" s="192">
        <f t="shared" ref="D19:D20" si="1">B19*C19</f>
        <v>4.5</v>
      </c>
      <c r="E19" s="193">
        <f>(D8/D21)*D19</f>
        <v>1585.108696</v>
      </c>
      <c r="F19" s="194">
        <f t="shared" ref="F19:F20" si="2">SUM(E19/B19)</f>
        <v>31.70217391</v>
      </c>
    </row>
    <row r="20">
      <c r="A20" s="195" t="s">
        <v>121</v>
      </c>
      <c r="B20" s="195">
        <v>48.0</v>
      </c>
      <c r="C20" s="195">
        <v>0.05</v>
      </c>
      <c r="D20" s="196">
        <f t="shared" si="1"/>
        <v>2.4</v>
      </c>
      <c r="E20" s="197">
        <f>(D8/D21)*D20</f>
        <v>845.3913043</v>
      </c>
      <c r="F20" s="198">
        <f t="shared" si="2"/>
        <v>17.61231884</v>
      </c>
    </row>
    <row r="21">
      <c r="D21" s="84">
        <f>SUM(D19:D20)</f>
        <v>6.9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</sheetData>
  <mergeCells count="4">
    <mergeCell ref="E10:H10"/>
    <mergeCell ref="A13:C13"/>
    <mergeCell ref="A14:C14"/>
    <mergeCell ref="E14:G14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5.71"/>
    <col customWidth="1" min="3" max="3" width="5.71"/>
    <col customWidth="1" min="4" max="4" width="14.14"/>
  </cols>
  <sheetData>
    <row r="1">
      <c r="A1" s="199" t="s">
        <v>47</v>
      </c>
      <c r="B1" s="199" t="s">
        <v>85</v>
      </c>
      <c r="C1" s="199" t="s">
        <v>48</v>
      </c>
      <c r="D1" s="200" t="s">
        <v>107</v>
      </c>
    </row>
    <row r="2">
      <c r="A2" s="201" t="s">
        <v>51</v>
      </c>
      <c r="B2" s="202">
        <v>2.0</v>
      </c>
      <c r="C2" s="201" t="s">
        <v>52</v>
      </c>
      <c r="D2" s="203">
        <f>B2*'Ingredients Price'!C2</f>
        <v>352</v>
      </c>
    </row>
    <row r="3">
      <c r="A3" s="202" t="s">
        <v>77</v>
      </c>
      <c r="B3" s="202">
        <v>0.05</v>
      </c>
      <c r="C3" s="201" t="s">
        <v>52</v>
      </c>
      <c r="D3" s="203">
        <f>B3*'Ingredients Price'!C25</f>
        <v>42.5</v>
      </c>
    </row>
    <row r="4">
      <c r="A4" s="201" t="s">
        <v>54</v>
      </c>
      <c r="B4" s="202">
        <v>0.8</v>
      </c>
      <c r="C4" s="201" t="s">
        <v>52</v>
      </c>
      <c r="D4" s="203">
        <f>B4*'Ingredients Price'!C4</f>
        <v>166.4</v>
      </c>
    </row>
    <row r="5">
      <c r="A5" s="202" t="s">
        <v>125</v>
      </c>
      <c r="B5" s="202">
        <v>0.05</v>
      </c>
      <c r="C5" s="202" t="s">
        <v>52</v>
      </c>
      <c r="D5" s="203">
        <f>B5*'Ingredients Price'!C20</f>
        <v>27.25</v>
      </c>
    </row>
    <row r="6">
      <c r="A6" s="201" t="s">
        <v>55</v>
      </c>
      <c r="B6" s="202">
        <v>0.05</v>
      </c>
      <c r="C6" s="201" t="s">
        <v>52</v>
      </c>
      <c r="D6" s="203">
        <f>B6*'Ingredients Price'!C5</f>
        <v>6.5</v>
      </c>
    </row>
    <row r="7">
      <c r="A7" s="201" t="s">
        <v>95</v>
      </c>
      <c r="B7" s="201" t="s">
        <v>46</v>
      </c>
      <c r="C7" s="201"/>
      <c r="D7" s="203">
        <f>SUM(D2:D6)</f>
        <v>594.65</v>
      </c>
    </row>
    <row r="9">
      <c r="A9" s="42" t="s">
        <v>126</v>
      </c>
      <c r="D9" s="95">
        <f>D7/25</f>
        <v>23.786</v>
      </c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71"/>
    <col customWidth="1" min="3" max="3" width="6.57"/>
    <col customWidth="1" min="4" max="4" width="14.14"/>
  </cols>
  <sheetData>
    <row r="1">
      <c r="A1" s="204" t="s">
        <v>47</v>
      </c>
      <c r="B1" s="204" t="s">
        <v>85</v>
      </c>
      <c r="C1" s="204" t="s">
        <v>48</v>
      </c>
      <c r="D1" s="205" t="s">
        <v>107</v>
      </c>
    </row>
    <row r="2">
      <c r="A2" s="88" t="s">
        <v>51</v>
      </c>
      <c r="B2" s="92">
        <v>1.0</v>
      </c>
      <c r="C2" s="88" t="s">
        <v>52</v>
      </c>
      <c r="D2" s="89">
        <f>B2*'Ingredients Price'!C2</f>
        <v>176</v>
      </c>
    </row>
    <row r="3">
      <c r="A3" s="92" t="s">
        <v>75</v>
      </c>
      <c r="B3" s="92">
        <v>1.0</v>
      </c>
      <c r="C3" s="88" t="s">
        <v>52</v>
      </c>
      <c r="D3" s="89">
        <f>B3*'Ingredients Price'!C9</f>
        <v>560</v>
      </c>
    </row>
    <row r="4">
      <c r="A4" s="88" t="s">
        <v>54</v>
      </c>
      <c r="B4" s="92">
        <v>1.0</v>
      </c>
      <c r="C4" s="88" t="s">
        <v>52</v>
      </c>
      <c r="D4" s="89">
        <f>B4*'Ingredients Price'!C4</f>
        <v>208</v>
      </c>
    </row>
    <row r="5">
      <c r="A5" s="92" t="s">
        <v>65</v>
      </c>
      <c r="B5" s="92">
        <v>15.0</v>
      </c>
      <c r="C5" s="92" t="s">
        <v>127</v>
      </c>
      <c r="D5" s="89">
        <f>B5*'Ingredients Price'!C14</f>
        <v>465</v>
      </c>
    </row>
    <row r="6">
      <c r="A6" s="92" t="s">
        <v>73</v>
      </c>
      <c r="B6" s="92">
        <v>0.01</v>
      </c>
      <c r="C6" s="92" t="s">
        <v>58</v>
      </c>
      <c r="D6" s="89">
        <f>B6*'Ingredients Price'!C21</f>
        <v>28.4</v>
      </c>
    </row>
    <row r="7">
      <c r="A7" s="92" t="s">
        <v>74</v>
      </c>
      <c r="B7" s="92">
        <v>0.01</v>
      </c>
      <c r="C7" s="92" t="s">
        <v>58</v>
      </c>
      <c r="D7" s="89">
        <f>B7*'Ingredients Price'!C22</f>
        <v>57.14</v>
      </c>
    </row>
    <row r="8">
      <c r="A8" s="92" t="s">
        <v>76</v>
      </c>
      <c r="B8" s="92">
        <v>2.0</v>
      </c>
      <c r="C8" s="92" t="s">
        <v>127</v>
      </c>
      <c r="D8" s="89">
        <f>B8*'Ingredients Price'!C24</f>
        <v>9.047619048</v>
      </c>
    </row>
    <row r="9">
      <c r="A9" s="92" t="s">
        <v>128</v>
      </c>
      <c r="B9" s="92">
        <v>0.25</v>
      </c>
      <c r="C9" s="92" t="s">
        <v>83</v>
      </c>
      <c r="D9" s="89">
        <f>B9*'Ingredients Price'!C19</f>
        <v>112.5</v>
      </c>
    </row>
    <row r="10">
      <c r="A10" s="92" t="s">
        <v>70</v>
      </c>
      <c r="B10" s="92">
        <v>0.1</v>
      </c>
      <c r="C10" s="92" t="s">
        <v>52</v>
      </c>
      <c r="D10" s="89">
        <f>B10*'Ingredients Price'!C18</f>
        <v>120</v>
      </c>
    </row>
    <row r="11">
      <c r="A11" s="88" t="s">
        <v>95</v>
      </c>
      <c r="B11" s="88" t="s">
        <v>46</v>
      </c>
      <c r="C11" s="88"/>
      <c r="D11" s="89">
        <f>SUM(D2:D10)</f>
        <v>1736.087619</v>
      </c>
    </row>
    <row r="13">
      <c r="A13" s="42"/>
    </row>
    <row r="14">
      <c r="A14" s="42" t="s">
        <v>129</v>
      </c>
      <c r="D14" s="95">
        <f>D11/65</f>
        <v>26.70904029</v>
      </c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29"/>
    <col customWidth="1" min="3" max="3" width="6.57"/>
    <col customWidth="1" min="4" max="4" width="14.14"/>
  </cols>
  <sheetData>
    <row r="1">
      <c r="A1" s="206" t="s">
        <v>130</v>
      </c>
      <c r="B1" s="207"/>
      <c r="C1" s="207"/>
      <c r="D1" s="208"/>
    </row>
    <row r="2">
      <c r="A2" s="204" t="s">
        <v>47</v>
      </c>
      <c r="B2" s="204" t="s">
        <v>85</v>
      </c>
      <c r="C2" s="204" t="s">
        <v>48</v>
      </c>
      <c r="D2" s="205" t="s">
        <v>107</v>
      </c>
    </row>
    <row r="3">
      <c r="A3" s="92" t="s">
        <v>131</v>
      </c>
      <c r="B3" s="92">
        <v>1.0</v>
      </c>
      <c r="C3" s="88" t="s">
        <v>52</v>
      </c>
      <c r="D3" s="130">
        <f>B3*'Ingredients Price'!C28</f>
        <v>760</v>
      </c>
    </row>
    <row r="4">
      <c r="A4" s="92" t="s">
        <v>65</v>
      </c>
      <c r="B4" s="92">
        <v>6.0</v>
      </c>
      <c r="C4" s="92" t="s">
        <v>127</v>
      </c>
      <c r="D4" s="89">
        <f>B4*'Ingredients Price'!C14</f>
        <v>186</v>
      </c>
    </row>
    <row r="5">
      <c r="A5" s="92" t="s">
        <v>82</v>
      </c>
      <c r="B5" s="209">
        <v>0.3</v>
      </c>
      <c r="C5" s="88" t="s">
        <v>52</v>
      </c>
      <c r="D5" s="89">
        <f>B5*'Ingredients Price'!C29</f>
        <v>240</v>
      </c>
    </row>
    <row r="6">
      <c r="A6" s="88" t="s">
        <v>95</v>
      </c>
      <c r="B6" s="88" t="s">
        <v>46</v>
      </c>
      <c r="C6" s="88"/>
      <c r="D6" s="210">
        <f>SUM(D3:D5)</f>
        <v>1186</v>
      </c>
    </row>
    <row r="8">
      <c r="A8" s="42"/>
    </row>
    <row r="9">
      <c r="A9" s="42" t="s">
        <v>129</v>
      </c>
      <c r="D9" s="211">
        <f>D6/35</f>
        <v>33.88571429</v>
      </c>
    </row>
    <row r="12">
      <c r="A12" s="212" t="s">
        <v>132</v>
      </c>
    </row>
    <row r="13">
      <c r="A13" s="204" t="s">
        <v>47</v>
      </c>
      <c r="B13" s="204" t="s">
        <v>85</v>
      </c>
      <c r="C13" s="204" t="s">
        <v>48</v>
      </c>
      <c r="D13" s="205" t="s">
        <v>107</v>
      </c>
    </row>
    <row r="14">
      <c r="A14" s="88" t="s">
        <v>51</v>
      </c>
      <c r="B14" s="92">
        <v>1.0</v>
      </c>
      <c r="C14" s="88" t="s">
        <v>52</v>
      </c>
      <c r="D14" s="89">
        <f>B14*'Ingredients Price'!C2</f>
        <v>176</v>
      </c>
    </row>
    <row r="15">
      <c r="A15" s="92" t="s">
        <v>75</v>
      </c>
      <c r="B15" s="92">
        <v>1.0</v>
      </c>
      <c r="C15" s="88" t="s">
        <v>52</v>
      </c>
      <c r="D15" s="89">
        <f>B15*'Ingredients Price'!C23</f>
        <v>900</v>
      </c>
    </row>
    <row r="16">
      <c r="A16" s="88" t="s">
        <v>54</v>
      </c>
      <c r="B16" s="92">
        <v>1.0</v>
      </c>
      <c r="C16" s="88" t="s">
        <v>52</v>
      </c>
      <c r="D16" s="89">
        <f>B16*'Ingredients Price'!C4</f>
        <v>208</v>
      </c>
    </row>
    <row r="17">
      <c r="A17" s="92" t="s">
        <v>65</v>
      </c>
      <c r="B17" s="92">
        <v>15.0</v>
      </c>
      <c r="C17" s="92" t="s">
        <v>127</v>
      </c>
      <c r="D17" s="89">
        <f>B17*'Ingredients Price'!C14</f>
        <v>465</v>
      </c>
    </row>
    <row r="18">
      <c r="A18" s="92" t="s">
        <v>73</v>
      </c>
      <c r="B18" s="92">
        <v>0.01</v>
      </c>
      <c r="C18" s="92" t="s">
        <v>58</v>
      </c>
      <c r="D18" s="89">
        <f>B18*'Ingredients Price'!C21</f>
        <v>28.4</v>
      </c>
    </row>
    <row r="19">
      <c r="A19" s="92" t="s">
        <v>93</v>
      </c>
      <c r="B19" s="209">
        <v>0.02</v>
      </c>
      <c r="C19" s="92" t="s">
        <v>83</v>
      </c>
      <c r="D19" s="89">
        <f>B19*'Ingredients Price'!C25</f>
        <v>17</v>
      </c>
    </row>
    <row r="20">
      <c r="A20" s="88" t="s">
        <v>95</v>
      </c>
      <c r="B20" s="88" t="s">
        <v>46</v>
      </c>
      <c r="C20" s="88"/>
      <c r="D20" s="213">
        <f>SUM(D14:D19)</f>
        <v>1794.4</v>
      </c>
    </row>
    <row r="22">
      <c r="A22" s="42" t="s">
        <v>129</v>
      </c>
      <c r="D22" s="95">
        <f>D20/70</f>
        <v>25.63428571</v>
      </c>
    </row>
  </sheetData>
  <drawing r:id="rId1"/>
  <tableParts count="2">
    <tablePart r:id="rId4"/>
    <tablePart r:id="rId5"/>
  </tableParts>
</worksheet>
</file>